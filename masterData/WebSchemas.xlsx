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 codeName="ThisWorkbook"/>
  <xr:revisionPtr revIDLastSave="0" documentId="13_ncr:1_{4A30F46C-30F9-470D-B9F7-96E53983357E}" xr6:coauthVersionLast="47" xr6:coauthVersionMax="47" xr10:uidLastSave="{00000000-0000-0000-0000-000000000000}"/>
  <bookViews>
    <workbookView xWindow="-120" yWindow="-120" windowWidth="20730" windowHeight="11160" firstSheet="6" activeTab="6" xr2:uid="{00000000-000D-0000-FFFF-FFFF00000000}"/>
  </bookViews>
  <sheets>
    <sheet name="Other-General-Expenses" sheetId="5" state="hidden" r:id="rId1"/>
    <sheet name="Guests-Entry" sheetId="12" state="hidden" r:id="rId2"/>
    <sheet name="Expenses-Entry" sheetId="26" state="hidden" r:id="rId3"/>
    <sheet name="Sheet1" sheetId="28" state="hidden" r:id="rId4"/>
    <sheet name="Tenant_Rentals_Tracker" sheetId="27" state="hidden" r:id="rId5"/>
    <sheet name="Vendors" sheetId="8" state="hidden" r:id="rId6"/>
    <sheet name="Apartments-Data" sheetId="1" r:id="rId7"/>
    <sheet name="VacancyTracker" sheetId="21" state="hidden" r:id="rId8"/>
    <sheet name="OccupancyTracker" sheetId="22" state="hidden" r:id="rId9"/>
    <sheet name="Occupancy_Status" sheetId="13" state="hidden" r:id="rId10"/>
    <sheet name="Tenants" sheetId="4" r:id="rId11"/>
    <sheet name="Beneficiaries" sheetId="15" r:id="rId12"/>
    <sheet name="RentalIncomes" sheetId="18" state="hidden" r:id="rId13"/>
    <sheet name="RentalAdvance" sheetId="23" state="hidden" r:id="rId14"/>
    <sheet name="Other_Incomes" sheetId="19" state="hidden" r:id="rId15"/>
    <sheet name="Flats" sheetId="16" r:id="rId16"/>
    <sheet name="InputVals" sheetId="2" state="hidden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4" l="1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B2" i="4"/>
  <c r="B6" i="4"/>
  <c r="B15" i="4"/>
  <c r="B17" i="4"/>
  <c r="B18" i="4"/>
  <c r="B19" i="4"/>
  <c r="B24" i="4"/>
  <c r="B26" i="4"/>
  <c r="B31" i="4"/>
  <c r="B30" i="4"/>
  <c r="B29" i="4"/>
  <c r="B23" i="4"/>
  <c r="B10" i="4"/>
  <c r="B7" i="4"/>
  <c r="B3" i="4"/>
  <c r="B21" i="4"/>
  <c r="B16" i="4"/>
  <c r="B14" i="4"/>
  <c r="B11" i="4"/>
  <c r="B8" i="4"/>
  <c r="B4" i="4"/>
  <c r="B28" i="4"/>
  <c r="B27" i="4"/>
  <c r="B25" i="4"/>
  <c r="B22" i="4"/>
  <c r="B20" i="4"/>
  <c r="B13" i="4"/>
  <c r="B12" i="4"/>
  <c r="B9" i="4"/>
  <c r="B5" i="4"/>
</calcChain>
</file>

<file path=xl/sharedStrings.xml><?xml version="1.0" encoding="utf-8"?>
<sst xmlns="http://schemas.openxmlformats.org/spreadsheetml/2006/main" count="730" uniqueCount="317">
  <si>
    <t>Apartment-Number</t>
  </si>
  <si>
    <t>Apartment Number</t>
  </si>
  <si>
    <t>Apartment Floor</t>
  </si>
  <si>
    <t>Current Tenant</t>
  </si>
  <si>
    <t>Owner</t>
  </si>
  <si>
    <t>Apartment Type</t>
  </si>
  <si>
    <t>Apartment-Type</t>
  </si>
  <si>
    <t>1 BHK</t>
  </si>
  <si>
    <t>2 BHK</t>
  </si>
  <si>
    <t>3 BHK</t>
  </si>
  <si>
    <t>Apartment-Floors</t>
  </si>
  <si>
    <t>Owners</t>
  </si>
  <si>
    <t>Mohammed Afzal</t>
  </si>
  <si>
    <t>Ruksana Parveen</t>
  </si>
  <si>
    <t>Mohammed Ashraf</t>
  </si>
  <si>
    <t>Mohammed Anas</t>
  </si>
  <si>
    <t>Tenant Name</t>
  </si>
  <si>
    <t>Tenant-Contact</t>
  </si>
  <si>
    <t>Maintenance Cost</t>
  </si>
  <si>
    <t>Water Cost</t>
  </si>
  <si>
    <t>Other Misc Costs</t>
  </si>
  <si>
    <t>Rent Receivable</t>
  </si>
  <si>
    <t>Amount</t>
  </si>
  <si>
    <t>Water Tanker</t>
  </si>
  <si>
    <t>Electricity Bill</t>
  </si>
  <si>
    <t>Generator Diesel</t>
  </si>
  <si>
    <t>Masjid Donation</t>
  </si>
  <si>
    <t>Watchman Salary</t>
  </si>
  <si>
    <t>Complex Greenery Maintenance</t>
  </si>
  <si>
    <t>CCTV Maintenance</t>
  </si>
  <si>
    <t>External Cleaning servicing</t>
  </si>
  <si>
    <t>Trash charges</t>
  </si>
  <si>
    <t>Date &amp; Time</t>
  </si>
  <si>
    <t>Person InCharge</t>
  </si>
  <si>
    <t>Guest-Name</t>
  </si>
  <si>
    <t>Mobile</t>
  </si>
  <si>
    <t>Occupancy Status</t>
  </si>
  <si>
    <t>Occupied</t>
  </si>
  <si>
    <t>Vacant</t>
  </si>
  <si>
    <t>Last Checkin (If Occupied)</t>
  </si>
  <si>
    <t>Last Checkout (If Vacant)</t>
  </si>
  <si>
    <t>Elevator Maintenance</t>
  </si>
  <si>
    <t>Vendor-Type</t>
  </si>
  <si>
    <t>Utility</t>
  </si>
  <si>
    <t>Charity</t>
  </si>
  <si>
    <t>Rent Income Beneficiary</t>
  </si>
  <si>
    <t>Full Name</t>
  </si>
  <si>
    <t>Adhar</t>
  </si>
  <si>
    <t>Entity</t>
  </si>
  <si>
    <t>Phone Number India</t>
  </si>
  <si>
    <t>Mohammed Abdurrahman</t>
  </si>
  <si>
    <t>Son of Owner</t>
  </si>
  <si>
    <t>Phone Number Abroad</t>
  </si>
  <si>
    <t>Abroad Location</t>
  </si>
  <si>
    <t>KSA</t>
  </si>
  <si>
    <t>Canada</t>
  </si>
  <si>
    <t>Ksa</t>
  </si>
  <si>
    <t>Bank account number for Rental Income</t>
  </si>
  <si>
    <t>Flats Under</t>
  </si>
  <si>
    <t>Owner Name</t>
  </si>
  <si>
    <t>House ID</t>
  </si>
  <si>
    <t>Flat No</t>
  </si>
  <si>
    <t>Type</t>
  </si>
  <si>
    <t>N35410</t>
  </si>
  <si>
    <t>2BHK</t>
  </si>
  <si>
    <t>N35409</t>
  </si>
  <si>
    <t>N35259</t>
  </si>
  <si>
    <t>N35408</t>
  </si>
  <si>
    <t>N35262</t>
  </si>
  <si>
    <t>N35407</t>
  </si>
  <si>
    <t>1BHK</t>
  </si>
  <si>
    <t>N35469</t>
  </si>
  <si>
    <t>N35411</t>
  </si>
  <si>
    <t>N35404</t>
  </si>
  <si>
    <t>N35405</t>
  </si>
  <si>
    <t>N35261</t>
  </si>
  <si>
    <t>N35445</t>
  </si>
  <si>
    <t>N35403</t>
  </si>
  <si>
    <t>N35260</t>
  </si>
  <si>
    <t>N35400</t>
  </si>
  <si>
    <t>N35401</t>
  </si>
  <si>
    <t>N35402</t>
  </si>
  <si>
    <t>N35468</t>
  </si>
  <si>
    <t>Lease Status</t>
  </si>
  <si>
    <t>Leasable</t>
  </si>
  <si>
    <t>Non-Leasable</t>
  </si>
  <si>
    <t>3BHK</t>
  </si>
  <si>
    <t>N/A</t>
  </si>
  <si>
    <t>Operational Expense</t>
  </si>
  <si>
    <t>Sweet/Drinking tap Water</t>
  </si>
  <si>
    <t>Maintenance Expense</t>
  </si>
  <si>
    <t>Expense Type</t>
  </si>
  <si>
    <t>Electrical Work</t>
  </si>
  <si>
    <t>Plumbing Work</t>
  </si>
  <si>
    <t>Date-Time</t>
  </si>
  <si>
    <t>Received To</t>
  </si>
  <si>
    <t>Amount Receivable</t>
  </si>
  <si>
    <t>Difference</t>
  </si>
  <si>
    <t>Autofilled</t>
  </si>
  <si>
    <t>Advance of Months</t>
  </si>
  <si>
    <t>Date</t>
  </si>
  <si>
    <t>Bilal</t>
  </si>
  <si>
    <t>Balka</t>
  </si>
  <si>
    <t>Syed</t>
  </si>
  <si>
    <t>Manoj</t>
  </si>
  <si>
    <t>Thousif</t>
  </si>
  <si>
    <t>Shaik Sajid</t>
  </si>
  <si>
    <t>Shaik</t>
  </si>
  <si>
    <t>AJINKYA</t>
  </si>
  <si>
    <t>Amit</t>
  </si>
  <si>
    <t>Chiranjeevi</t>
  </si>
  <si>
    <t>Srikanta</t>
  </si>
  <si>
    <t>Move-in Date</t>
  </si>
  <si>
    <t>Move-out Date</t>
  </si>
  <si>
    <t>Iqbal Ahmed</t>
  </si>
  <si>
    <t>TAHNIATHALIKHAN MOHAMMAD</t>
  </si>
  <si>
    <t>BHARGAV</t>
  </si>
  <si>
    <t>Sivanesan</t>
  </si>
  <si>
    <t>Vyshnavi</t>
  </si>
  <si>
    <t>Shaik Aadil thulla basha</t>
  </si>
  <si>
    <t>POOJA</t>
  </si>
  <si>
    <t>ABDUL</t>
  </si>
  <si>
    <t>Mohsin</t>
  </si>
  <si>
    <t>Poorna</t>
  </si>
  <si>
    <t>Vaani</t>
  </si>
  <si>
    <t>Ravi</t>
  </si>
  <si>
    <t>Vijay</t>
  </si>
  <si>
    <t>Nestaway-ID</t>
  </si>
  <si>
    <t>Received_To</t>
  </si>
  <si>
    <t>Amount_Receivable</t>
  </si>
  <si>
    <t>Nestaway-Id</t>
  </si>
  <si>
    <t>Occupied From Date</t>
  </si>
  <si>
    <t>Occupied To Date</t>
  </si>
  <si>
    <t>Vacant From Date</t>
  </si>
  <si>
    <t>Vacant To Date</t>
  </si>
  <si>
    <t>In-Charge Person</t>
  </si>
  <si>
    <t>Actual Move-out Date</t>
  </si>
  <si>
    <t>Actual Move-in Date</t>
  </si>
  <si>
    <t>Haroon</t>
  </si>
  <si>
    <t>Rafeeq</t>
  </si>
  <si>
    <t>Building Maintenance Works</t>
  </si>
  <si>
    <t>Tax Payment</t>
  </si>
  <si>
    <t>Income Tax</t>
  </si>
  <si>
    <t>Income Type</t>
  </si>
  <si>
    <t>Autofilled based on Apartment Receivable</t>
  </si>
  <si>
    <t>Maintenance</t>
  </si>
  <si>
    <t>Water</t>
  </si>
  <si>
    <t>Tax Return</t>
  </si>
  <si>
    <t>Received by</t>
  </si>
  <si>
    <t>Remarks</t>
  </si>
  <si>
    <t>Vendor Company</t>
  </si>
  <si>
    <t>Vendor Contact Person Name</t>
  </si>
  <si>
    <t>Person In-Charge</t>
  </si>
  <si>
    <t>Diagnosis/Remarks</t>
  </si>
  <si>
    <t>Other</t>
  </si>
  <si>
    <t>Owner Misc Expense</t>
  </si>
  <si>
    <t>ServiceOrProduct</t>
  </si>
  <si>
    <t>Payment Type</t>
  </si>
  <si>
    <t>Cash</t>
  </si>
  <si>
    <t>Bank Transfer</t>
  </si>
  <si>
    <t>Google Pay</t>
  </si>
  <si>
    <t>Contact Number</t>
  </si>
  <si>
    <t>Date Added</t>
  </si>
  <si>
    <t>Vendor Type</t>
  </si>
  <si>
    <t>Service for entity</t>
  </si>
  <si>
    <t>Tanker Number (If Tanker Expense)</t>
  </si>
  <si>
    <t>Electrician</t>
  </si>
  <si>
    <t>Plumber</t>
  </si>
  <si>
    <t>Carpenter</t>
  </si>
  <si>
    <t>Painter</t>
  </si>
  <si>
    <t>Cleaner</t>
  </si>
  <si>
    <t>Gardener</t>
  </si>
  <si>
    <t>Electrical Bill</t>
  </si>
  <si>
    <t>Trash Collector</t>
  </si>
  <si>
    <t>Utility subTypes</t>
  </si>
  <si>
    <t>Manager Salary</t>
  </si>
  <si>
    <t>Maintenance SubType</t>
  </si>
  <si>
    <t>UtilityExp  subTypes</t>
  </si>
  <si>
    <t>Operational Exp SubType</t>
  </si>
  <si>
    <t>Maintenance Exp SubType</t>
  </si>
  <si>
    <t>Electrical works</t>
  </si>
  <si>
    <t>Plumbing works</t>
  </si>
  <si>
    <t>Carpenter works</t>
  </si>
  <si>
    <t>Painting works</t>
  </si>
  <si>
    <t>Cleaning works</t>
  </si>
  <si>
    <t>Gardening works</t>
  </si>
  <si>
    <t>Trash Collection</t>
  </si>
  <si>
    <t>Tax Exp SubType</t>
  </si>
  <si>
    <t>Sweet Water Bill</t>
  </si>
  <si>
    <t>General Building Maintenance</t>
  </si>
  <si>
    <t>WifI Bill</t>
  </si>
  <si>
    <t>Capital Expenses</t>
  </si>
  <si>
    <t>Tenant ID</t>
  </si>
  <si>
    <t>From</t>
  </si>
  <si>
    <t>To</t>
  </si>
  <si>
    <t>Rent</t>
  </si>
  <si>
    <t>NA</t>
  </si>
  <si>
    <t>4BHK</t>
  </si>
  <si>
    <t>Operational</t>
  </si>
  <si>
    <t>Tax</t>
  </si>
  <si>
    <t>Capital</t>
  </si>
  <si>
    <t>Bore Water Motor</t>
  </si>
  <si>
    <t>Sweet Water Motor</t>
  </si>
  <si>
    <t>Sump Motor</t>
  </si>
  <si>
    <t>Inverter</t>
  </si>
  <si>
    <t>Stabiliser</t>
  </si>
  <si>
    <t>Generator</t>
  </si>
  <si>
    <t>Building Maintenance</t>
  </si>
  <si>
    <t>Water Automation System</t>
  </si>
  <si>
    <t>Civil related</t>
  </si>
  <si>
    <t>Electrical related</t>
  </si>
  <si>
    <t>Plumbing related</t>
  </si>
  <si>
    <t>Elevator related</t>
  </si>
  <si>
    <t>Expense Category</t>
  </si>
  <si>
    <t>Expense Head</t>
  </si>
  <si>
    <t>Expense Item / Specific Type</t>
  </si>
  <si>
    <t>Lift electricity</t>
  </si>
  <si>
    <t>Municipality/water board bill</t>
  </si>
  <si>
    <t>WiFi Bill</t>
  </si>
  <si>
    <t>Internet subscription</t>
  </si>
  <si>
    <t>Router/device replacement</t>
  </si>
  <si>
    <t>Installation charges</t>
  </si>
  <si>
    <t>Electrical Works</t>
  </si>
  <si>
    <t>Wiring repair</t>
  </si>
  <si>
    <t>Switch/socket replacement</t>
  </si>
  <si>
    <t>DB/panel work</t>
  </si>
  <si>
    <t>Light/fan fitting</t>
  </si>
  <si>
    <t>Plumbing Works</t>
  </si>
  <si>
    <t>Pipe leakage repair</t>
  </si>
  <si>
    <t>Tap/mixer replacement</t>
  </si>
  <si>
    <t>Drainage blockage</t>
  </si>
  <si>
    <t>Bathroom/kitchen plumbing</t>
  </si>
  <si>
    <t>Carpenter Works</t>
  </si>
  <si>
    <t>Door repair</t>
  </si>
  <si>
    <t>Lock/handle replacement</t>
  </si>
  <si>
    <t>Cabinet/woodwork repair</t>
  </si>
  <si>
    <t>Painting Works</t>
  </si>
  <si>
    <t>Common area painting</t>
  </si>
  <si>
    <t>Flat repainting</t>
  </si>
  <si>
    <t>Touch-up work</t>
  </si>
  <si>
    <t>Cleaning Works</t>
  </si>
  <si>
    <t>Daily cleaning</t>
  </si>
  <si>
    <t>Deep cleaning</t>
  </si>
  <si>
    <t>Gardening Works</t>
  </si>
  <si>
    <t>Plant maintenance</t>
  </si>
  <si>
    <t>Soil/manure purchase</t>
  </si>
  <si>
    <t>Gardener charges</t>
  </si>
  <si>
    <t>Monthly garbage collection</t>
  </si>
  <si>
    <t>Extra waste disposal</t>
  </si>
  <si>
    <t>Diesel purchase</t>
  </si>
  <si>
    <t>Diesel transport charges</t>
  </si>
  <si>
    <t>Minor repair</t>
  </si>
  <si>
    <t>Common area repair</t>
  </si>
  <si>
    <t>Monthly salary</t>
  </si>
  <si>
    <t>Bonus/incentive</t>
  </si>
  <si>
    <t>Advance/payment adjustment</t>
  </si>
  <si>
    <t>Donation</t>
  </si>
  <si>
    <t>Community support</t>
  </si>
  <si>
    <t>Bank charges</t>
  </si>
  <si>
    <t>Stationery/printing</t>
  </si>
  <si>
    <t>Miscellaneous admin expense</t>
  </si>
  <si>
    <t>AMC charges</t>
  </si>
  <si>
    <t>Spare parts</t>
  </si>
  <si>
    <t>Emergency repair</t>
  </si>
  <si>
    <t>Inspection/certification</t>
  </si>
  <si>
    <t>Camera repair</t>
  </si>
  <si>
    <t>DVR/NVR repair</t>
  </si>
  <si>
    <t>Hard disk replacement</t>
  </si>
  <si>
    <t>Cable/power adapter replacement</t>
  </si>
  <si>
    <t>Motor repair</t>
  </si>
  <si>
    <t>Starter/capacitor replacement</t>
  </si>
  <si>
    <t>Pump replacement</t>
  </si>
  <si>
    <t>Float switch/sensor repair</t>
  </si>
  <si>
    <t>Cleaning/service</t>
  </si>
  <si>
    <t>Pipe/valve replacement</t>
  </si>
  <si>
    <t>Battery replacement</t>
  </si>
  <si>
    <t>Inverter repair</t>
  </si>
  <si>
    <t>Wiring/service charges</t>
  </si>
  <si>
    <t>Stabiliser repair</t>
  </si>
  <si>
    <t>Replacement</t>
  </si>
  <si>
    <t>Servicing</t>
  </si>
  <si>
    <t>AMC/service</t>
  </si>
  <si>
    <t>Oil/filter change</t>
  </si>
  <si>
    <t>Sensor replacement</t>
  </si>
  <si>
    <t>Controller repair</t>
  </si>
  <si>
    <t>Wiring/relay repair</t>
  </si>
  <si>
    <t>Emergency maintenance</t>
  </si>
  <si>
    <t>Unclassified repair</t>
  </si>
  <si>
    <t>Advance tax</t>
  </si>
  <si>
    <t>Tax filing/professional fee</t>
  </si>
  <si>
    <t>Penalty/interest</t>
  </si>
  <si>
    <t>Addition of Equipment</t>
  </si>
  <si>
    <t>New CCTV camera</t>
  </si>
  <si>
    <t>New motor/pump</t>
  </si>
  <si>
    <t>New inverter/battery</t>
  </si>
  <si>
    <t>New generator equipment</t>
  </si>
  <si>
    <t>New automation device</t>
  </si>
  <si>
    <t>New electrical panel</t>
  </si>
  <si>
    <t>New furniture/fixture</t>
  </si>
  <si>
    <t>3BHK electricity</t>
  </si>
  <si>
    <t>Common area electricity + Motors</t>
  </si>
  <si>
    <t>Guest related office tea/coffee</t>
  </si>
  <si>
    <t>Motor Related</t>
  </si>
  <si>
    <t>Lift Cabin related</t>
  </si>
  <si>
    <t>Shaft Related</t>
  </si>
  <si>
    <t>Motor Rewinding</t>
  </si>
  <si>
    <t>Motor related</t>
  </si>
  <si>
    <t>Sensor related</t>
  </si>
  <si>
    <t>Motor rewinding</t>
  </si>
  <si>
    <t>AMC /service</t>
  </si>
  <si>
    <t>Supplemental Water Supply</t>
  </si>
  <si>
    <t>Time of Day</t>
  </si>
  <si>
    <t>Delivery Driver</t>
  </si>
  <si>
    <t>Manager in attendance</t>
  </si>
  <si>
    <t>Liters Filled</t>
  </si>
  <si>
    <t>Water Tanker Number</t>
  </si>
  <si>
    <t>➡ Additional Fields for this entry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</si>
</sst>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INR]\ * #,##0.00_);_([$INR]\ * \(#,##0.00\);_([$INR]\ 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282828"/>
      <name val="Arial"/>
      <family val="2"/>
    </font>
    <font>
      <b/>
      <sz val="11"/>
      <color theme="1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2" borderId="1" xfId="0" applyFont="1" applyFill="1" applyBorder="1"/>
    <xf numFmtId="0" fontId="1" fillId="3" borderId="2" xfId="0" applyFont="1" applyFill="1" applyBorder="1"/>
    <xf numFmtId="0" fontId="1" fillId="0" borderId="2" xfId="0" applyFont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4" borderId="3" xfId="0" applyFill="1" applyBorder="1"/>
    <xf numFmtId="0" fontId="0" fillId="4" borderId="3" xfId="0" applyFill="1" applyBorder="1" applyAlignment="1">
      <alignment horizontal="center"/>
    </xf>
    <xf numFmtId="0" fontId="0" fillId="5" borderId="3" xfId="0" applyFill="1" applyBorder="1"/>
    <xf numFmtId="0" fontId="0" fillId="5" borderId="3" xfId="0" applyFill="1" applyBorder="1" applyAlignment="1">
      <alignment horizontal="center"/>
    </xf>
    <xf numFmtId="0" fontId="0" fillId="6" borderId="3" xfId="0" applyFill="1" applyBorder="1"/>
    <xf numFmtId="0" fontId="0" fillId="6" borderId="3" xfId="0" applyFill="1" applyBorder="1" applyAlignment="1">
      <alignment horizontal="center"/>
    </xf>
    <xf numFmtId="0" fontId="0" fillId="7" borderId="3" xfId="0" applyFill="1" applyBorder="1"/>
    <xf numFmtId="0" fontId="0" fillId="7" borderId="3" xfId="0" applyFill="1" applyBorder="1" applyAlignment="1">
      <alignment horizontal="center"/>
    </xf>
    <xf numFmtId="0" fontId="0" fillId="8" borderId="3" xfId="0" applyFill="1" applyBorder="1"/>
    <xf numFmtId="0" fontId="0" fillId="8" borderId="3" xfId="0" applyFill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6" borderId="4" xfId="0" applyFill="1" applyBorder="1"/>
    <xf numFmtId="0" fontId="0" fillId="7" borderId="4" xfId="0" applyFill="1" applyBorder="1"/>
    <xf numFmtId="0" fontId="0" fillId="4" borderId="4" xfId="0" applyFill="1" applyBorder="1"/>
    <xf numFmtId="0" fontId="0" fillId="5" borderId="4" xfId="0" applyFill="1" applyBorder="1"/>
    <xf numFmtId="0" fontId="0" fillId="8" borderId="4" xfId="0" applyFill="1" applyBorder="1"/>
    <xf numFmtId="0" fontId="0" fillId="6" borderId="5" xfId="0" applyFill="1" applyBorder="1"/>
    <xf numFmtId="0" fontId="0" fillId="7" borderId="5" xfId="0" applyFill="1" applyBorder="1"/>
    <xf numFmtId="0" fontId="0" fillId="4" borderId="5" xfId="0" applyFill="1" applyBorder="1"/>
    <xf numFmtId="0" fontId="0" fillId="5" borderId="5" xfId="0" applyFill="1" applyBorder="1"/>
    <xf numFmtId="0" fontId="0" fillId="8" borderId="5" xfId="0" applyFill="1" applyBorder="1"/>
    <xf numFmtId="0" fontId="0" fillId="8" borderId="9" xfId="0" applyFill="1" applyBorder="1" applyAlignment="1">
      <alignment horizontal="center"/>
    </xf>
    <xf numFmtId="0" fontId="0" fillId="8" borderId="10" xfId="0" applyFill="1" applyBorder="1"/>
    <xf numFmtId="0" fontId="3" fillId="9" borderId="6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14" fontId="0" fillId="0" borderId="0" xfId="0" applyNumberFormat="1"/>
    <xf numFmtId="14" fontId="6" fillId="0" borderId="0" xfId="0" applyNumberFormat="1" applyFont="1"/>
    <xf numFmtId="0" fontId="7" fillId="0" borderId="0" xfId="0" applyFont="1"/>
    <xf numFmtId="0" fontId="0" fillId="3" borderId="1" xfId="0" applyFill="1" applyBorder="1"/>
    <xf numFmtId="0" fontId="2" fillId="2" borderId="11" xfId="0" applyFont="1" applyFill="1" applyBorder="1"/>
    <xf numFmtId="0" fontId="2" fillId="2" borderId="2" xfId="0" applyFont="1" applyFill="1" applyBorder="1"/>
    <xf numFmtId="0" fontId="2" fillId="2" borderId="0" xfId="0" applyFont="1" applyFill="1"/>
    <xf numFmtId="0" fontId="0" fillId="3" borderId="12" xfId="0" applyFill="1" applyBorder="1"/>
    <xf numFmtId="0" fontId="4" fillId="2" borderId="11" xfId="0" applyFont="1" applyFill="1" applyBorder="1"/>
    <xf numFmtId="0" fontId="4" fillId="2" borderId="0" xfId="0" applyFont="1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5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ill>
        <patternFill patternType="solid">
          <fgColor indexed="64"/>
          <bgColor theme="8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5999938962981048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0000000}" name="Monthly_Expense" displayName="Monthly_Expense" ref="A1:B17" totalsRowShown="0" headerRowDxfId="49">
  <autoFilter ref="A1:B17" xr:uid="{00000000-0009-0000-0100-000008000000}"/>
  <tableColumns count="2">
    <tableColumn id="1" xr3:uid="{00000000-0010-0000-0000-000001000000}" name="Expense Type"/>
    <tableColumn id="3" xr3:uid="{00000000-0010-0000-0000-000003000000}" name="Vendor-Type" dataDxfId="4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Guests_Tracker" displayName="Guests_Tracker" ref="A1:E2" totalsRowShown="0" headerRowDxfId="47">
  <autoFilter ref="A1:E2" xr:uid="{00000000-0009-0000-0100-000007000000}"/>
  <tableColumns count="5">
    <tableColumn id="1" xr3:uid="{00000000-0010-0000-0100-000001000000}" name="Guest-Name"/>
    <tableColumn id="2" xr3:uid="{00000000-0010-0000-0100-000002000000}" name="Mobile"/>
    <tableColumn id="3" xr3:uid="{00000000-0010-0000-0100-000003000000}" name="Date &amp; Time"/>
    <tableColumn id="4" xr3:uid="{00000000-0010-0000-0100-000004000000}" name="Apartment Number"/>
    <tableColumn id="5" xr3:uid="{00000000-0010-0000-0100-000005000000}" name="Person InChar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2000000}" name="Table11" displayName="Table11" ref="A1:J2" totalsRowShown="0" headerRowDxfId="46" dataDxfId="45" tableBorderDxfId="44">
  <autoFilter ref="A1:J2" xr:uid="{00000000-0009-0000-0100-00000B000000}"/>
  <tableColumns count="10">
    <tableColumn id="1" xr3:uid="{00000000-0010-0000-0200-000001000000}" name="Expense Type" dataDxfId="43"/>
    <tableColumn id="11" xr3:uid="{00000000-0010-0000-0200-00000B000000}" name="Service for entity" dataDxfId="42"/>
    <tableColumn id="2" xr3:uid="{00000000-0010-0000-0200-000002000000}" name="Date &amp; Time" dataDxfId="41"/>
    <tableColumn id="4" xr3:uid="{00000000-0010-0000-0200-000004000000}" name="Amount" dataDxfId="40"/>
    <tableColumn id="10" xr3:uid="{00000000-0010-0000-0200-00000A000000}" name="Payment Type" dataDxfId="39"/>
    <tableColumn id="6" xr3:uid="{00000000-0010-0000-0200-000006000000}" name="Diagnosis/Remarks" dataDxfId="38"/>
    <tableColumn id="8" xr3:uid="{00000000-0010-0000-0200-000008000000}" name="Vendor Contact Person Name" dataDxfId="37"/>
    <tableColumn id="3" xr3:uid="{00000000-0010-0000-0200-000003000000}" name="Person In-Charge" dataDxfId="36"/>
    <tableColumn id="9" xr3:uid="{00000000-0010-0000-0200-000009000000}" name="ServiceOrProduct" dataDxfId="35"/>
    <tableColumn id="7" xr3:uid="{00000000-0010-0000-0200-000007000000}" name="Tanker Number (If Tanker Expense)" dataDxfId="3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3000000}" name="Table13" displayName="Table13" ref="A1:D2" totalsRowShown="0" headerRowDxfId="33">
  <autoFilter ref="A1:D2" xr:uid="{00000000-0009-0000-0100-00000D000000}"/>
  <tableColumns count="4">
    <tableColumn id="1" xr3:uid="{00000000-0010-0000-0300-000001000000}" name="Tenant ID"/>
    <tableColumn id="2" xr3:uid="{00000000-0010-0000-0300-000002000000}" name="From"/>
    <tableColumn id="3" xr3:uid="{00000000-0010-0000-0300-000003000000}" name="To"/>
    <tableColumn id="4" xr3:uid="{00000000-0010-0000-0300-000004000000}" name="R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Gardening_Tracker" displayName="Gardening_Tracker" ref="B1:E2" totalsRowShown="0" headerRowDxfId="32">
  <autoFilter ref="B1:E2" xr:uid="{00000000-0009-0000-0100-00000C000000}"/>
  <tableColumns count="4">
    <tableColumn id="7" xr3:uid="{00000000-0010-0000-0400-000007000000}" name="Vendor Company"/>
    <tableColumn id="6" xr3:uid="{00000000-0010-0000-0400-000006000000}" name="Vendor Contact Person Name"/>
    <tableColumn id="1" xr3:uid="{00000000-0010-0000-0400-000001000000}" name="Contact Number"/>
    <tableColumn id="2" xr3:uid="{00000000-0010-0000-0400-000002000000}" name="Date Adde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Apartment_Details" displayName="Apartment_Details" ref="A1:L21" totalsRowShown="0" headerRowDxfId="31">
  <autoFilter ref="A1:L21" xr:uid="{00000000-000C-0000-FFFF-FFFF05000000}"/>
  <tableColumns count="12">
    <tableColumn id="1" xr3:uid="{00000000-0010-0000-0500-000001000000}" name="Apartment Number" dataDxfId="30"/>
    <tableColumn id="11" xr3:uid="{00000000-0010-0000-0500-00000B000000}" name="Nestaway-ID" dataDxfId="29"/>
    <tableColumn id="12" xr3:uid="{00000000-0010-0000-0500-00000C000000}" name="Lease Status"/>
    <tableColumn id="2" xr3:uid="{00000000-0010-0000-0500-000002000000}" name="Apartment Floor" dataDxfId="28"/>
    <tableColumn id="3" xr3:uid="{00000000-0010-0000-0500-000003000000}" name="Apartment Type"/>
    <tableColumn id="4" xr3:uid="{00000000-0010-0000-0500-000004000000}" name="Rent Income Beneficiary" dataDxfId="27"/>
    <tableColumn id="5" xr3:uid="{00000000-0010-0000-0500-000005000000}" name="Maintenance Cost"/>
    <tableColumn id="6" xr3:uid="{00000000-0010-0000-0500-000006000000}" name="Water Cost"/>
    <tableColumn id="9" xr3:uid="{00000000-0010-0000-0500-000009000000}" name="Rent Receivable"/>
    <tableColumn id="7" xr3:uid="{00000000-0010-0000-0500-000007000000}" name="Other Misc Costs"/>
    <tableColumn id="10" xr3:uid="{00000000-0010-0000-0500-00000A000000}" name="Occupancy Status"/>
    <tableColumn id="8" xr3:uid="{00000000-0010-0000-0500-000008000000}" name="Current Tena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6000000}" name="Occ_Status_Tracker" displayName="Occ_Status_Tracker" ref="A1:D2" totalsRowShown="0" headerRowDxfId="26">
  <autoFilter ref="A1:D2" xr:uid="{00000000-0009-0000-0100-000010000000}"/>
  <tableColumns count="4">
    <tableColumn id="1" xr3:uid="{00000000-0010-0000-0600-000001000000}" name="Apartment Number"/>
    <tableColumn id="2" xr3:uid="{00000000-0010-0000-0600-000002000000}" name="Occupancy Status"/>
    <tableColumn id="3" xr3:uid="{00000000-0010-0000-0600-000003000000}" name="Last Checkin (If Occupied)"/>
    <tableColumn id="4" xr3:uid="{00000000-0010-0000-0600-000004000000}" name="Last Checkout (If Vacant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7000000}" name="Current_Tenants" displayName="Current_Tenants" ref="A1:I50" totalsRowShown="0" headerRowDxfId="25">
  <autoFilter ref="A1:I50" xr:uid="{00000000-0009-0000-0100-000006000000}"/>
  <sortState xmlns:xlrd2="http://schemas.microsoft.com/office/spreadsheetml/2017/richdata2" ref="A2:I50">
    <sortCondition ref="F1:F50"/>
  </sortState>
  <tableColumns count="9">
    <tableColumn id="1" xr3:uid="{00000000-0010-0000-0700-000001000000}" name="Apartment Number"/>
    <tableColumn id="10" xr3:uid="{00000000-0010-0000-0700-00000A000000}" name="Nestaway-Id" dataDxfId="24">
      <calculatedColumnFormula>VLOOKUP(Current_Tenants[[#This Row],[Apartment Number]],Table10[[Flat No]:[House ID]],3,FALSE)</calculatedColumnFormula>
    </tableColumn>
    <tableColumn id="2" xr3:uid="{00000000-0010-0000-0700-000002000000}" name="Tenant Name"/>
    <tableColumn id="3" xr3:uid="{00000000-0010-0000-0700-000003000000}" name="Tenant-Contact" dataDxfId="23"/>
    <tableColumn id="4" xr3:uid="{00000000-0010-0000-0700-000004000000}" name="In-Charge Person"/>
    <tableColumn id="5" xr3:uid="{00000000-0010-0000-0700-000005000000}" name="Move-in Date"/>
    <tableColumn id="7" xr3:uid="{00000000-0010-0000-0700-000007000000}" name="Actual Move-in Date" dataDxfId="22">
      <calculatedColumnFormula>Current_Tenants[[#This Row],[Move-in Date]]-2</calculatedColumnFormula>
    </tableColumn>
    <tableColumn id="6" xr3:uid="{00000000-0010-0000-0700-000006000000}" name="Move-out Date"/>
    <tableColumn id="9" xr3:uid="{00000000-0010-0000-0700-000009000000}" name="Actual Move-out Date" dataDxfId="21">
      <calculatedColumnFormula>Current_Tenants[[#This Row],[Move-out Date]]+1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A1:H7" totalsRowShown="0" headerRowDxfId="20">
  <autoFilter ref="A1:H7" xr:uid="{00000000-0009-0000-0100-000009000000}"/>
  <tableColumns count="8">
    <tableColumn id="1" xr3:uid="{00000000-0010-0000-0800-000001000000}" name="Full Name"/>
    <tableColumn id="2" xr3:uid="{00000000-0010-0000-0800-000002000000}" name="Phone Number India"/>
    <tableColumn id="3" xr3:uid="{00000000-0010-0000-0800-000003000000}" name="Phone Number Abroad"/>
    <tableColumn id="7" xr3:uid="{00000000-0010-0000-0800-000007000000}" name="Abroad Location"/>
    <tableColumn id="4" xr3:uid="{00000000-0010-0000-0800-000004000000}" name="Adhar" dataDxfId="19"/>
    <tableColumn id="5" xr3:uid="{00000000-0010-0000-0800-000005000000}" name="Bank account number for Rental Income"/>
    <tableColumn id="6" xr3:uid="{00000000-0010-0000-0800-000006000000}" name="Entity"/>
    <tableColumn id="8" xr3:uid="{00000000-0010-0000-0800-000008000000}" name="Flats Unde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0" displayName="Table10" ref="A1:D20" totalsRowShown="0" headerRowDxfId="18" headerRowBorderDxfId="17" tableBorderDxfId="16" totalsRowBorderDxfId="15">
  <autoFilter ref="A1:D20" xr:uid="{00000000-0009-0000-0100-00000A000000}"/>
  <tableColumns count="4">
    <tableColumn id="3" xr3:uid="{00000000-0010-0000-0900-000003000000}" name="Flat No" dataDxfId="14"/>
    <tableColumn id="1" xr3:uid="{00000000-0010-0000-0900-000001000000}" name="Owner Name" dataDxfId="13"/>
    <tableColumn id="2" xr3:uid="{00000000-0010-0000-0900-000002000000}" name="House ID" dataDxfId="12"/>
    <tableColumn id="4" xr3:uid="{00000000-0010-0000-0900-000004000000}" name="Type" dataDxfId="1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A000000}" name="Apartment_Types" displayName="Apartment_Types" ref="A1:A4" totalsRowShown="0" headerRowDxfId="10">
  <autoFilter ref="A1:A4" xr:uid="{00000000-0009-0000-0100-000001000000}"/>
  <tableColumns count="1">
    <tableColumn id="1" xr3:uid="{00000000-0010-0000-0A00-000001000000}" name="Apartment-Typ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Apartment_Numbers" displayName="Apartment_Numbers" ref="C1:C20" totalsRowShown="0" headerRowDxfId="9" dataDxfId="8">
  <autoFilter ref="C1:C20" xr:uid="{00000000-0009-0000-0100-000002000000}"/>
  <tableColumns count="1">
    <tableColumn id="1" xr3:uid="{00000000-0010-0000-0B00-000001000000}" name="Apartment-Number" dataDxfId="7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C000000}" name="Apartment_Floors" displayName="Apartment_Floors" ref="E1:E6" totalsRowShown="0" headerRowDxfId="6" dataDxfId="5">
  <autoFilter ref="E1:E6" xr:uid="{00000000-0009-0000-0100-000003000000}"/>
  <tableColumns count="1">
    <tableColumn id="1" xr3:uid="{00000000-0010-0000-0C00-000001000000}" name="Apartment-Floors" dataDxfId="4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D000000}" name="Owners" displayName="Owners" ref="G1:G5" totalsRowShown="0" headerRowDxfId="3">
  <autoFilter ref="G1:G5" xr:uid="{00000000-0009-0000-0100-000004000000}"/>
  <tableColumns count="1">
    <tableColumn id="1" xr3:uid="{00000000-0010-0000-0D00-000001000000}" name="Owner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Occ_Status" displayName="Occ_Status" ref="I1:I3" totalsRowShown="0" headerRowDxfId="2" dataDxfId="1">
  <autoFilter ref="I1:I3" xr:uid="{00000000-0009-0000-0100-00000F000000}"/>
  <tableColumns count="1">
    <tableColumn id="1" xr3:uid="{00000000-0010-0000-0E00-000001000000}" name="Occupancy 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7"/>
  <sheetViews>
    <sheetView workbookViewId="0">
      <selection activeCell="C18" sqref="C18"/>
    </sheetView>
  </sheetViews>
  <sheetFormatPr defaultRowHeight="15" x14ac:dyDescent="0.25"/>
  <cols>
    <col min="1" max="1" width="30.5703125" bestFit="1" customWidth="1"/>
    <col min="2" max="2" width="28.28515625" customWidth="1"/>
  </cols>
  <sheetData>
    <row r="1" spans="1:2" x14ac:dyDescent="0.25">
      <c r="A1" s="1" t="s">
        <v>91</v>
      </c>
      <c r="B1" s="1" t="s">
        <v>42</v>
      </c>
    </row>
    <row r="2" spans="1:2" x14ac:dyDescent="0.25">
      <c r="A2" t="s">
        <v>23</v>
      </c>
      <c r="B2" s="1" t="s">
        <v>43</v>
      </c>
    </row>
    <row r="3" spans="1:2" x14ac:dyDescent="0.25">
      <c r="A3" t="s">
        <v>24</v>
      </c>
      <c r="B3" s="1" t="s">
        <v>43</v>
      </c>
    </row>
    <row r="4" spans="1:2" x14ac:dyDescent="0.25">
      <c r="A4" t="s">
        <v>25</v>
      </c>
      <c r="B4" s="1" t="s">
        <v>43</v>
      </c>
    </row>
    <row r="5" spans="1:2" x14ac:dyDescent="0.25">
      <c r="A5" t="s">
        <v>26</v>
      </c>
      <c r="B5" s="1" t="s">
        <v>44</v>
      </c>
    </row>
    <row r="6" spans="1:2" x14ac:dyDescent="0.25">
      <c r="A6" t="s">
        <v>27</v>
      </c>
      <c r="B6" s="1" t="s">
        <v>88</v>
      </c>
    </row>
    <row r="7" spans="1:2" x14ac:dyDescent="0.25">
      <c r="A7" t="s">
        <v>28</v>
      </c>
      <c r="B7" s="1" t="s">
        <v>90</v>
      </c>
    </row>
    <row r="8" spans="1:2" x14ac:dyDescent="0.25">
      <c r="A8" t="s">
        <v>29</v>
      </c>
      <c r="B8" s="1" t="s">
        <v>90</v>
      </c>
    </row>
    <row r="9" spans="1:2" x14ac:dyDescent="0.25">
      <c r="A9" t="s">
        <v>30</v>
      </c>
      <c r="B9" s="1" t="s">
        <v>90</v>
      </c>
    </row>
    <row r="10" spans="1:2" x14ac:dyDescent="0.25">
      <c r="A10" t="s">
        <v>89</v>
      </c>
      <c r="B10" s="1" t="s">
        <v>43</v>
      </c>
    </row>
    <row r="11" spans="1:2" x14ac:dyDescent="0.25">
      <c r="A11" t="s">
        <v>31</v>
      </c>
      <c r="B11" s="1" t="s">
        <v>43</v>
      </c>
    </row>
    <row r="12" spans="1:2" x14ac:dyDescent="0.25">
      <c r="A12" t="s">
        <v>41</v>
      </c>
      <c r="B12" s="1" t="s">
        <v>90</v>
      </c>
    </row>
    <row r="13" spans="1:2" x14ac:dyDescent="0.25">
      <c r="A13" t="s">
        <v>92</v>
      </c>
      <c r="B13" s="1" t="s">
        <v>43</v>
      </c>
    </row>
    <row r="14" spans="1:2" x14ac:dyDescent="0.25">
      <c r="A14" t="s">
        <v>93</v>
      </c>
      <c r="B14" s="1" t="s">
        <v>43</v>
      </c>
    </row>
    <row r="15" spans="1:2" x14ac:dyDescent="0.25">
      <c r="A15" t="s">
        <v>140</v>
      </c>
      <c r="B15" s="1" t="s">
        <v>90</v>
      </c>
    </row>
    <row r="16" spans="1:2" x14ac:dyDescent="0.25">
      <c r="A16" t="s">
        <v>141</v>
      </c>
      <c r="B16" s="1" t="s">
        <v>142</v>
      </c>
    </row>
    <row r="17" spans="2:2" x14ac:dyDescent="0.25">
      <c r="B17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1"/>
  <sheetViews>
    <sheetView workbookViewId="0">
      <selection activeCell="F7" sqref="F7"/>
    </sheetView>
  </sheetViews>
  <sheetFormatPr defaultRowHeight="15" x14ac:dyDescent="0.25"/>
  <cols>
    <col min="1" max="1" width="14.42578125" customWidth="1"/>
    <col min="2" max="2" width="9.5703125" customWidth="1"/>
    <col min="3" max="3" width="14.140625" customWidth="1"/>
    <col min="4" max="4" width="20.42578125" customWidth="1"/>
    <col min="5" max="5" width="17.5703125" customWidth="1"/>
  </cols>
  <sheetData>
    <row r="1" spans="1:5" x14ac:dyDescent="0.25">
      <c r="A1" s="1" t="s">
        <v>34</v>
      </c>
      <c r="B1" s="1" t="s">
        <v>35</v>
      </c>
      <c r="C1" s="1" t="s">
        <v>32</v>
      </c>
      <c r="D1" s="1" t="s">
        <v>1</v>
      </c>
      <c r="E1" s="1" t="s">
        <v>33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P14"/>
  <sheetViews>
    <sheetView topLeftCell="J1" workbookViewId="0">
      <selection activeCell="N2" sqref="N2:N4"/>
    </sheetView>
  </sheetViews>
  <sheetFormatPr defaultRowHeight="15" x14ac:dyDescent="0.25"/>
  <cols>
    <col min="1" max="1" width="15.5703125" bestFit="1" customWidth="1"/>
    <col min="2" max="2" width="18.5703125" bestFit="1" customWidth="1"/>
    <col min="3" max="4" width="29.85546875" bestFit="1" customWidth="1"/>
    <col min="5" max="6" width="34" customWidth="1"/>
    <col min="7" max="8" width="32.7109375" customWidth="1"/>
    <col min="9" max="9" width="34" bestFit="1" customWidth="1"/>
    <col min="10" max="10" width="26" customWidth="1"/>
    <col min="12" max="12" width="28.28515625" bestFit="1" customWidth="1"/>
    <col min="13" max="13" width="23.5703125" bestFit="1" customWidth="1"/>
    <col min="14" max="14" width="24.5703125" bestFit="1" customWidth="1"/>
    <col min="15" max="15" width="24.140625" bestFit="1" customWidth="1"/>
    <col min="16" max="16" width="16" bestFit="1" customWidth="1"/>
  </cols>
  <sheetData>
    <row r="1" spans="1:16" x14ac:dyDescent="0.25">
      <c r="A1" s="48" t="s">
        <v>91</v>
      </c>
      <c r="B1" s="49" t="s">
        <v>164</v>
      </c>
      <c r="C1" s="48" t="s">
        <v>32</v>
      </c>
      <c r="D1" s="45" t="s">
        <v>22</v>
      </c>
      <c r="E1" s="44" t="s">
        <v>157</v>
      </c>
      <c r="F1" s="46" t="s">
        <v>153</v>
      </c>
      <c r="G1" s="44" t="s">
        <v>151</v>
      </c>
      <c r="H1" s="44" t="s">
        <v>152</v>
      </c>
      <c r="I1" s="44" t="s">
        <v>156</v>
      </c>
      <c r="J1" s="44" t="s">
        <v>165</v>
      </c>
      <c r="L1" t="s">
        <v>177</v>
      </c>
      <c r="M1" t="s">
        <v>178</v>
      </c>
      <c r="N1" t="s">
        <v>179</v>
      </c>
      <c r="O1" t="s">
        <v>187</v>
      </c>
      <c r="P1" t="s">
        <v>191</v>
      </c>
    </row>
    <row r="2" spans="1:16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L2" t="s">
        <v>172</v>
      </c>
      <c r="M2" t="s">
        <v>27</v>
      </c>
      <c r="N2" t="s">
        <v>41</v>
      </c>
      <c r="O2" t="s">
        <v>142</v>
      </c>
    </row>
    <row r="3" spans="1:16" x14ac:dyDescent="0.25">
      <c r="L3" t="s">
        <v>188</v>
      </c>
      <c r="M3" t="s">
        <v>175</v>
      </c>
      <c r="N3" t="s">
        <v>29</v>
      </c>
      <c r="O3" t="s">
        <v>154</v>
      </c>
    </row>
    <row r="4" spans="1:16" x14ac:dyDescent="0.25">
      <c r="L4" t="s">
        <v>190</v>
      </c>
      <c r="M4" t="s">
        <v>44</v>
      </c>
      <c r="N4" t="s">
        <v>154</v>
      </c>
    </row>
    <row r="5" spans="1:16" x14ac:dyDescent="0.25">
      <c r="L5" t="s">
        <v>180</v>
      </c>
      <c r="M5" t="s">
        <v>154</v>
      </c>
    </row>
    <row r="6" spans="1:16" x14ac:dyDescent="0.25">
      <c r="L6" t="s">
        <v>181</v>
      </c>
    </row>
    <row r="7" spans="1:16" x14ac:dyDescent="0.25">
      <c r="L7" t="s">
        <v>182</v>
      </c>
    </row>
    <row r="8" spans="1:16" x14ac:dyDescent="0.25">
      <c r="L8" t="s">
        <v>183</v>
      </c>
    </row>
    <row r="9" spans="1:16" x14ac:dyDescent="0.25">
      <c r="L9" t="s">
        <v>184</v>
      </c>
    </row>
    <row r="10" spans="1:16" x14ac:dyDescent="0.25">
      <c r="L10" t="s">
        <v>185</v>
      </c>
    </row>
    <row r="11" spans="1:16" x14ac:dyDescent="0.25">
      <c r="L11" t="s">
        <v>186</v>
      </c>
    </row>
    <row r="12" spans="1:16" x14ac:dyDescent="0.25">
      <c r="L12" t="s">
        <v>25</v>
      </c>
    </row>
    <row r="13" spans="1:16" x14ac:dyDescent="0.25">
      <c r="L13" t="s">
        <v>189</v>
      </c>
    </row>
    <row r="14" spans="1:16" x14ac:dyDescent="0.25">
      <c r="L14" t="s">
        <v>154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A48F0-46C4-4E03-8C06-BDFB148FA078}">
  <dimension ref="A1:I100"/>
  <sheetViews>
    <sheetView topLeftCell="A87" workbookViewId="0">
      <selection activeCell="C93" sqref="C93"/>
    </sheetView>
  </sheetViews>
  <sheetFormatPr defaultRowHeight="15" x14ac:dyDescent="0.25"/>
  <cols>
    <col min="1" max="1" width="16.85546875" bestFit="1" customWidth="1"/>
    <col min="2" max="2" width="16.28515625" bestFit="1" customWidth="1"/>
    <col min="3" max="3" width="22.28515625" bestFit="1" customWidth="1"/>
    <col min="4" max="4" width="21" bestFit="1" customWidth="1"/>
    <col min="5" max="5" width="11.42578125" bestFit="1" customWidth="1"/>
    <col min="6" max="6" width="14.42578125" bestFit="1" customWidth="1"/>
    <col min="7" max="7" width="21.85546875" bestFit="1" customWidth="1"/>
    <col min="8" max="8" width="11.28515625" bestFit="1" customWidth="1"/>
    <col min="9" max="9" width="21.7109375" bestFit="1" customWidth="1"/>
  </cols>
  <sheetData>
    <row r="1" spans="1:9" ht="30" x14ac:dyDescent="0.25">
      <c r="A1" s="51" t="s">
        <v>213</v>
      </c>
      <c r="B1" s="51" t="s">
        <v>214</v>
      </c>
      <c r="C1" s="51" t="s">
        <v>215</v>
      </c>
    </row>
    <row r="2" spans="1:9" ht="30" x14ac:dyDescent="0.25">
      <c r="A2" s="52" t="s">
        <v>43</v>
      </c>
      <c r="B2" s="52" t="s">
        <v>172</v>
      </c>
      <c r="C2" s="52" t="s">
        <v>300</v>
      </c>
    </row>
    <row r="3" spans="1:9" x14ac:dyDescent="0.25">
      <c r="A3" s="52" t="s">
        <v>43</v>
      </c>
      <c r="B3" s="52" t="s">
        <v>172</v>
      </c>
      <c r="C3" s="52" t="s">
        <v>299</v>
      </c>
    </row>
    <row r="4" spans="1:9" x14ac:dyDescent="0.25">
      <c r="A4" s="52" t="s">
        <v>43</v>
      </c>
      <c r="B4" s="52" t="s">
        <v>172</v>
      </c>
      <c r="C4" s="52" t="s">
        <v>216</v>
      </c>
    </row>
    <row r="5" spans="1:9" ht="30" x14ac:dyDescent="0.25">
      <c r="A5" s="52" t="s">
        <v>43</v>
      </c>
      <c r="B5" s="52" t="s">
        <v>188</v>
      </c>
      <c r="C5" s="52" t="s">
        <v>217</v>
      </c>
    </row>
    <row r="6" spans="1:9" ht="45" x14ac:dyDescent="0.25">
      <c r="A6" s="52" t="s">
        <v>43</v>
      </c>
      <c r="B6" s="52" t="s">
        <v>310</v>
      </c>
      <c r="C6" s="52" t="s">
        <v>23</v>
      </c>
      <c r="D6" s="52" t="s">
        <v>316</v>
      </c>
      <c r="E6" s="53" t="s">
        <v>315</v>
      </c>
      <c r="F6" s="54" t="s">
        <v>311</v>
      </c>
      <c r="G6" s="54" t="s">
        <v>312</v>
      </c>
      <c r="H6" s="54" t="s">
        <v>313</v>
      </c>
      <c r="I6" s="54" t="s">
        <v>314</v>
      </c>
    </row>
    <row r="7" spans="1:9" x14ac:dyDescent="0.25">
      <c r="A7" s="52" t="s">
        <v>43</v>
      </c>
      <c r="B7" s="52" t="s">
        <v>218</v>
      </c>
      <c r="C7" s="52" t="s">
        <v>219</v>
      </c>
    </row>
    <row r="8" spans="1:9" ht="30" x14ac:dyDescent="0.25">
      <c r="A8" s="52" t="s">
        <v>43</v>
      </c>
      <c r="B8" s="52" t="s">
        <v>218</v>
      </c>
      <c r="C8" s="52" t="s">
        <v>220</v>
      </c>
    </row>
    <row r="9" spans="1:9" x14ac:dyDescent="0.25">
      <c r="A9" s="52" t="s">
        <v>43</v>
      </c>
      <c r="B9" s="52" t="s">
        <v>218</v>
      </c>
      <c r="C9" s="52" t="s">
        <v>221</v>
      </c>
    </row>
    <row r="10" spans="1:9" x14ac:dyDescent="0.25">
      <c r="A10" s="52" t="s">
        <v>43</v>
      </c>
      <c r="B10" s="52" t="s">
        <v>222</v>
      </c>
      <c r="C10" s="52" t="s">
        <v>223</v>
      </c>
    </row>
    <row r="11" spans="1:9" ht="30" x14ac:dyDescent="0.25">
      <c r="A11" s="52" t="s">
        <v>43</v>
      </c>
      <c r="B11" s="52" t="s">
        <v>222</v>
      </c>
      <c r="C11" s="52" t="s">
        <v>224</v>
      </c>
    </row>
    <row r="12" spans="1:9" x14ac:dyDescent="0.25">
      <c r="A12" s="52" t="s">
        <v>43</v>
      </c>
      <c r="B12" s="52" t="s">
        <v>222</v>
      </c>
      <c r="C12" s="52" t="s">
        <v>225</v>
      </c>
    </row>
    <row r="13" spans="1:9" x14ac:dyDescent="0.25">
      <c r="A13" s="52" t="s">
        <v>43</v>
      </c>
      <c r="B13" s="52" t="s">
        <v>222</v>
      </c>
      <c r="C13" s="52" t="s">
        <v>226</v>
      </c>
    </row>
    <row r="14" spans="1:9" x14ac:dyDescent="0.25">
      <c r="A14" s="52" t="s">
        <v>43</v>
      </c>
      <c r="B14" s="52" t="s">
        <v>227</v>
      </c>
      <c r="C14" s="52" t="s">
        <v>228</v>
      </c>
    </row>
    <row r="15" spans="1:9" x14ac:dyDescent="0.25">
      <c r="A15" s="52" t="s">
        <v>43</v>
      </c>
      <c r="B15" s="52" t="s">
        <v>227</v>
      </c>
      <c r="C15" s="52" t="s">
        <v>229</v>
      </c>
    </row>
    <row r="16" spans="1:9" x14ac:dyDescent="0.25">
      <c r="A16" s="52" t="s">
        <v>43</v>
      </c>
      <c r="B16" s="52" t="s">
        <v>227</v>
      </c>
      <c r="C16" s="52" t="s">
        <v>230</v>
      </c>
    </row>
    <row r="17" spans="1:3" ht="30" x14ac:dyDescent="0.25">
      <c r="A17" s="52" t="s">
        <v>43</v>
      </c>
      <c r="B17" s="52" t="s">
        <v>227</v>
      </c>
      <c r="C17" s="52" t="s">
        <v>231</v>
      </c>
    </row>
    <row r="18" spans="1:3" x14ac:dyDescent="0.25">
      <c r="A18" s="52" t="s">
        <v>43</v>
      </c>
      <c r="B18" s="52" t="s">
        <v>232</v>
      </c>
      <c r="C18" s="52" t="s">
        <v>233</v>
      </c>
    </row>
    <row r="19" spans="1:3" ht="30" x14ac:dyDescent="0.25">
      <c r="A19" s="52" t="s">
        <v>43</v>
      </c>
      <c r="B19" s="52" t="s">
        <v>232</v>
      </c>
      <c r="C19" s="52" t="s">
        <v>234</v>
      </c>
    </row>
    <row r="20" spans="1:3" ht="30" x14ac:dyDescent="0.25">
      <c r="A20" s="52" t="s">
        <v>43</v>
      </c>
      <c r="B20" s="52" t="s">
        <v>232</v>
      </c>
      <c r="C20" s="52" t="s">
        <v>235</v>
      </c>
    </row>
    <row r="21" spans="1:3" x14ac:dyDescent="0.25">
      <c r="A21" s="52" t="s">
        <v>43</v>
      </c>
      <c r="B21" s="52" t="s">
        <v>236</v>
      </c>
      <c r="C21" s="52" t="s">
        <v>237</v>
      </c>
    </row>
    <row r="22" spans="1:3" x14ac:dyDescent="0.25">
      <c r="A22" s="52" t="s">
        <v>43</v>
      </c>
      <c r="B22" s="52" t="s">
        <v>236</v>
      </c>
      <c r="C22" s="52" t="s">
        <v>238</v>
      </c>
    </row>
    <row r="23" spans="1:3" x14ac:dyDescent="0.25">
      <c r="A23" s="52" t="s">
        <v>43</v>
      </c>
      <c r="B23" s="52" t="s">
        <v>236</v>
      </c>
      <c r="C23" s="52" t="s">
        <v>239</v>
      </c>
    </row>
    <row r="24" spans="1:3" x14ac:dyDescent="0.25">
      <c r="A24" s="52" t="s">
        <v>43</v>
      </c>
      <c r="B24" s="52" t="s">
        <v>240</v>
      </c>
      <c r="C24" s="52" t="s">
        <v>241</v>
      </c>
    </row>
    <row r="25" spans="1:3" x14ac:dyDescent="0.25">
      <c r="A25" s="52" t="s">
        <v>43</v>
      </c>
      <c r="B25" s="52" t="s">
        <v>240</v>
      </c>
      <c r="C25" s="52" t="s">
        <v>242</v>
      </c>
    </row>
    <row r="26" spans="1:3" x14ac:dyDescent="0.25">
      <c r="A26" s="52" t="s">
        <v>43</v>
      </c>
      <c r="B26" s="52" t="s">
        <v>243</v>
      </c>
      <c r="C26" s="52" t="s">
        <v>244</v>
      </c>
    </row>
    <row r="27" spans="1:3" x14ac:dyDescent="0.25">
      <c r="A27" s="52" t="s">
        <v>43</v>
      </c>
      <c r="B27" s="52" t="s">
        <v>243</v>
      </c>
      <c r="C27" s="52" t="s">
        <v>245</v>
      </c>
    </row>
    <row r="28" spans="1:3" x14ac:dyDescent="0.25">
      <c r="A28" s="52" t="s">
        <v>43</v>
      </c>
      <c r="B28" s="52" t="s">
        <v>243</v>
      </c>
      <c r="C28" s="52" t="s">
        <v>246</v>
      </c>
    </row>
    <row r="29" spans="1:3" ht="30" x14ac:dyDescent="0.25">
      <c r="A29" s="52" t="s">
        <v>43</v>
      </c>
      <c r="B29" s="52" t="s">
        <v>186</v>
      </c>
      <c r="C29" s="52" t="s">
        <v>247</v>
      </c>
    </row>
    <row r="30" spans="1:3" x14ac:dyDescent="0.25">
      <c r="A30" s="52" t="s">
        <v>43</v>
      </c>
      <c r="B30" s="52" t="s">
        <v>186</v>
      </c>
      <c r="C30" s="52" t="s">
        <v>248</v>
      </c>
    </row>
    <row r="31" spans="1:3" x14ac:dyDescent="0.25">
      <c r="A31" s="52" t="s">
        <v>43</v>
      </c>
      <c r="B31" s="52" t="s">
        <v>25</v>
      </c>
      <c r="C31" s="52" t="s">
        <v>249</v>
      </c>
    </row>
    <row r="32" spans="1:3" ht="30" x14ac:dyDescent="0.25">
      <c r="A32" s="52" t="s">
        <v>43</v>
      </c>
      <c r="B32" s="52" t="s">
        <v>25</v>
      </c>
      <c r="C32" s="52" t="s">
        <v>250</v>
      </c>
    </row>
    <row r="33" spans="1:3" ht="30" x14ac:dyDescent="0.25">
      <c r="A33" s="52" t="s">
        <v>43</v>
      </c>
      <c r="B33" s="52" t="s">
        <v>189</v>
      </c>
      <c r="C33" s="52" t="s">
        <v>251</v>
      </c>
    </row>
    <row r="34" spans="1:3" ht="30" x14ac:dyDescent="0.25">
      <c r="A34" s="52" t="s">
        <v>43</v>
      </c>
      <c r="B34" s="52" t="s">
        <v>189</v>
      </c>
      <c r="C34" s="52" t="s">
        <v>252</v>
      </c>
    </row>
    <row r="35" spans="1:3" x14ac:dyDescent="0.25">
      <c r="A35" s="52" t="s">
        <v>198</v>
      </c>
      <c r="B35" s="52" t="s">
        <v>27</v>
      </c>
      <c r="C35" s="52" t="s">
        <v>253</v>
      </c>
    </row>
    <row r="36" spans="1:3" x14ac:dyDescent="0.25">
      <c r="A36" s="52" t="s">
        <v>198</v>
      </c>
      <c r="B36" s="52" t="s">
        <v>27</v>
      </c>
      <c r="C36" s="52" t="s">
        <v>254</v>
      </c>
    </row>
    <row r="37" spans="1:3" ht="30" x14ac:dyDescent="0.25">
      <c r="A37" s="52" t="s">
        <v>198</v>
      </c>
      <c r="B37" s="52" t="s">
        <v>27</v>
      </c>
      <c r="C37" s="52" t="s">
        <v>255</v>
      </c>
    </row>
    <row r="38" spans="1:3" x14ac:dyDescent="0.25">
      <c r="A38" s="52" t="s">
        <v>198</v>
      </c>
      <c r="B38" s="52" t="s">
        <v>175</v>
      </c>
      <c r="C38" s="52" t="s">
        <v>253</v>
      </c>
    </row>
    <row r="39" spans="1:3" x14ac:dyDescent="0.25">
      <c r="A39" s="52" t="s">
        <v>198</v>
      </c>
      <c r="B39" s="52" t="s">
        <v>175</v>
      </c>
      <c r="C39" s="52" t="s">
        <v>254</v>
      </c>
    </row>
    <row r="40" spans="1:3" x14ac:dyDescent="0.25">
      <c r="A40" s="52" t="s">
        <v>198</v>
      </c>
      <c r="B40" s="52" t="s">
        <v>44</v>
      </c>
      <c r="C40" s="52" t="s">
        <v>256</v>
      </c>
    </row>
    <row r="41" spans="1:3" x14ac:dyDescent="0.25">
      <c r="A41" s="52" t="s">
        <v>198</v>
      </c>
      <c r="B41" s="52" t="s">
        <v>44</v>
      </c>
      <c r="C41" s="52" t="s">
        <v>257</v>
      </c>
    </row>
    <row r="42" spans="1:3" x14ac:dyDescent="0.25">
      <c r="A42" s="52" t="s">
        <v>198</v>
      </c>
      <c r="B42" s="52" t="s">
        <v>154</v>
      </c>
      <c r="C42" s="52" t="s">
        <v>258</v>
      </c>
    </row>
    <row r="43" spans="1:3" x14ac:dyDescent="0.25">
      <c r="A43" s="52" t="s">
        <v>198</v>
      </c>
      <c r="B43" s="52" t="s">
        <v>154</v>
      </c>
      <c r="C43" s="52" t="s">
        <v>259</v>
      </c>
    </row>
    <row r="44" spans="1:3" ht="30" x14ac:dyDescent="0.25">
      <c r="A44" s="52" t="s">
        <v>198</v>
      </c>
      <c r="B44" s="52" t="s">
        <v>154</v>
      </c>
      <c r="C44" s="52" t="s">
        <v>260</v>
      </c>
    </row>
    <row r="45" spans="1:3" ht="30" x14ac:dyDescent="0.25">
      <c r="A45" s="52" t="s">
        <v>198</v>
      </c>
      <c r="B45" s="52" t="s">
        <v>154</v>
      </c>
      <c r="C45" s="52" t="s">
        <v>301</v>
      </c>
    </row>
    <row r="46" spans="1:3" ht="30" x14ac:dyDescent="0.25">
      <c r="A46" s="52" t="s">
        <v>145</v>
      </c>
      <c r="B46" s="52" t="s">
        <v>41</v>
      </c>
      <c r="C46" s="52" t="s">
        <v>261</v>
      </c>
    </row>
    <row r="47" spans="1:3" ht="30" x14ac:dyDescent="0.25">
      <c r="A47" s="52" t="s">
        <v>145</v>
      </c>
      <c r="B47" s="52" t="s">
        <v>41</v>
      </c>
      <c r="C47" s="52" t="s">
        <v>262</v>
      </c>
    </row>
    <row r="48" spans="1:3" ht="30" x14ac:dyDescent="0.25">
      <c r="A48" s="52" t="s">
        <v>145</v>
      </c>
      <c r="B48" s="52" t="s">
        <v>41</v>
      </c>
      <c r="C48" s="52" t="s">
        <v>263</v>
      </c>
    </row>
    <row r="49" spans="1:3" ht="30" x14ac:dyDescent="0.25">
      <c r="A49" s="52" t="s">
        <v>145</v>
      </c>
      <c r="B49" s="52" t="s">
        <v>41</v>
      </c>
      <c r="C49" s="52" t="s">
        <v>264</v>
      </c>
    </row>
    <row r="50" spans="1:3" ht="30" x14ac:dyDescent="0.25">
      <c r="A50" s="52" t="s">
        <v>145</v>
      </c>
      <c r="B50" s="52" t="s">
        <v>41</v>
      </c>
      <c r="C50" s="52" t="s">
        <v>302</v>
      </c>
    </row>
    <row r="51" spans="1:3" ht="30" x14ac:dyDescent="0.25">
      <c r="A51" s="52" t="s">
        <v>145</v>
      </c>
      <c r="B51" s="52" t="s">
        <v>41</v>
      </c>
      <c r="C51" s="52" t="s">
        <v>305</v>
      </c>
    </row>
    <row r="52" spans="1:3" ht="30" x14ac:dyDescent="0.25">
      <c r="A52" s="52" t="s">
        <v>145</v>
      </c>
      <c r="B52" s="52" t="s">
        <v>41</v>
      </c>
      <c r="C52" s="52" t="s">
        <v>303</v>
      </c>
    </row>
    <row r="53" spans="1:3" ht="30" x14ac:dyDescent="0.25">
      <c r="A53" s="52" t="s">
        <v>145</v>
      </c>
      <c r="B53" s="52" t="s">
        <v>41</v>
      </c>
      <c r="C53" s="52" t="s">
        <v>304</v>
      </c>
    </row>
    <row r="54" spans="1:3" ht="30" x14ac:dyDescent="0.25">
      <c r="A54" s="52" t="s">
        <v>145</v>
      </c>
      <c r="B54" s="52" t="s">
        <v>29</v>
      </c>
      <c r="C54" s="52" t="s">
        <v>265</v>
      </c>
    </row>
    <row r="55" spans="1:3" ht="30" x14ac:dyDescent="0.25">
      <c r="A55" s="52" t="s">
        <v>145</v>
      </c>
      <c r="B55" s="52" t="s">
        <v>29</v>
      </c>
      <c r="C55" s="52" t="s">
        <v>266</v>
      </c>
    </row>
    <row r="56" spans="1:3" ht="30" x14ac:dyDescent="0.25">
      <c r="A56" s="52" t="s">
        <v>145</v>
      </c>
      <c r="B56" s="52" t="s">
        <v>29</v>
      </c>
      <c r="C56" s="52" t="s">
        <v>267</v>
      </c>
    </row>
    <row r="57" spans="1:3" ht="30" x14ac:dyDescent="0.25">
      <c r="A57" s="52" t="s">
        <v>145</v>
      </c>
      <c r="B57" s="52" t="s">
        <v>29</v>
      </c>
      <c r="C57" s="52" t="s">
        <v>268</v>
      </c>
    </row>
    <row r="58" spans="1:3" ht="30" x14ac:dyDescent="0.25">
      <c r="A58" s="52" t="s">
        <v>145</v>
      </c>
      <c r="B58" s="52" t="s">
        <v>201</v>
      </c>
      <c r="C58" s="52" t="s">
        <v>306</v>
      </c>
    </row>
    <row r="59" spans="1:3" ht="30" x14ac:dyDescent="0.25">
      <c r="A59" s="52" t="s">
        <v>145</v>
      </c>
      <c r="B59" s="52" t="s">
        <v>201</v>
      </c>
      <c r="C59" s="52" t="s">
        <v>305</v>
      </c>
    </row>
    <row r="60" spans="1:3" ht="30" x14ac:dyDescent="0.25">
      <c r="A60" s="52" t="s">
        <v>145</v>
      </c>
      <c r="B60" s="52" t="s">
        <v>201</v>
      </c>
      <c r="C60" s="52" t="s">
        <v>270</v>
      </c>
    </row>
    <row r="61" spans="1:3" ht="30" x14ac:dyDescent="0.25">
      <c r="A61" s="52" t="s">
        <v>145</v>
      </c>
      <c r="B61" s="52" t="s">
        <v>201</v>
      </c>
      <c r="C61" s="52" t="s">
        <v>307</v>
      </c>
    </row>
    <row r="62" spans="1:3" ht="30" x14ac:dyDescent="0.25">
      <c r="A62" s="52" t="s">
        <v>145</v>
      </c>
      <c r="B62" s="52" t="s">
        <v>202</v>
      </c>
      <c r="C62" s="52" t="s">
        <v>269</v>
      </c>
    </row>
    <row r="63" spans="1:3" ht="30" x14ac:dyDescent="0.25">
      <c r="A63" s="52" t="s">
        <v>145</v>
      </c>
      <c r="B63" s="52" t="s">
        <v>202</v>
      </c>
      <c r="C63" s="52" t="s">
        <v>308</v>
      </c>
    </row>
    <row r="64" spans="1:3" ht="30" x14ac:dyDescent="0.25">
      <c r="A64" s="52" t="s">
        <v>145</v>
      </c>
      <c r="B64" s="52" t="s">
        <v>202</v>
      </c>
      <c r="C64" s="52" t="s">
        <v>271</v>
      </c>
    </row>
    <row r="65" spans="1:3" ht="30" x14ac:dyDescent="0.25">
      <c r="A65" s="52" t="s">
        <v>145</v>
      </c>
      <c r="B65" s="52" t="s">
        <v>202</v>
      </c>
      <c r="C65" s="52" t="s">
        <v>272</v>
      </c>
    </row>
    <row r="66" spans="1:3" x14ac:dyDescent="0.25">
      <c r="A66" s="52" t="s">
        <v>145</v>
      </c>
      <c r="B66" s="52" t="s">
        <v>203</v>
      </c>
      <c r="C66" s="52" t="s">
        <v>269</v>
      </c>
    </row>
    <row r="67" spans="1:3" x14ac:dyDescent="0.25">
      <c r="A67" s="52" t="s">
        <v>145</v>
      </c>
      <c r="B67" s="52" t="s">
        <v>203</v>
      </c>
      <c r="C67" s="52" t="s">
        <v>308</v>
      </c>
    </row>
    <row r="68" spans="1:3" x14ac:dyDescent="0.25">
      <c r="A68" s="52" t="s">
        <v>145</v>
      </c>
      <c r="B68" s="52" t="s">
        <v>203</v>
      </c>
      <c r="C68" s="52" t="s">
        <v>273</v>
      </c>
    </row>
    <row r="69" spans="1:3" ht="30" x14ac:dyDescent="0.25">
      <c r="A69" s="52" t="s">
        <v>145</v>
      </c>
      <c r="B69" s="52" t="s">
        <v>203</v>
      </c>
      <c r="C69" s="52" t="s">
        <v>274</v>
      </c>
    </row>
    <row r="70" spans="1:3" x14ac:dyDescent="0.25">
      <c r="A70" s="52" t="s">
        <v>145</v>
      </c>
      <c r="B70" s="52" t="s">
        <v>204</v>
      </c>
      <c r="C70" s="52" t="s">
        <v>309</v>
      </c>
    </row>
    <row r="71" spans="1:3" x14ac:dyDescent="0.25">
      <c r="A71" s="52" t="s">
        <v>145</v>
      </c>
      <c r="B71" s="52" t="s">
        <v>204</v>
      </c>
      <c r="C71" s="52" t="s">
        <v>275</v>
      </c>
    </row>
    <row r="72" spans="1:3" x14ac:dyDescent="0.25">
      <c r="A72" s="52" t="s">
        <v>145</v>
      </c>
      <c r="B72" s="52" t="s">
        <v>204</v>
      </c>
      <c r="C72" s="52" t="s">
        <v>276</v>
      </c>
    </row>
    <row r="73" spans="1:3" x14ac:dyDescent="0.25">
      <c r="A73" s="52" t="s">
        <v>145</v>
      </c>
      <c r="B73" s="52" t="s">
        <v>204</v>
      </c>
      <c r="C73" s="52" t="s">
        <v>277</v>
      </c>
    </row>
    <row r="74" spans="1:3" x14ac:dyDescent="0.25">
      <c r="A74" s="52" t="s">
        <v>145</v>
      </c>
      <c r="B74" s="52" t="s">
        <v>205</v>
      </c>
      <c r="C74" s="52" t="s">
        <v>278</v>
      </c>
    </row>
    <row r="75" spans="1:3" x14ac:dyDescent="0.25">
      <c r="A75" s="52" t="s">
        <v>145</v>
      </c>
      <c r="B75" s="52" t="s">
        <v>205</v>
      </c>
      <c r="C75" s="52" t="s">
        <v>279</v>
      </c>
    </row>
    <row r="76" spans="1:3" x14ac:dyDescent="0.25">
      <c r="A76" s="52" t="s">
        <v>145</v>
      </c>
      <c r="B76" s="52" t="s">
        <v>205</v>
      </c>
      <c r="C76" s="52" t="s">
        <v>280</v>
      </c>
    </row>
    <row r="77" spans="1:3" x14ac:dyDescent="0.25">
      <c r="A77" s="52" t="s">
        <v>145</v>
      </c>
      <c r="B77" s="52" t="s">
        <v>206</v>
      </c>
      <c r="C77" s="52" t="s">
        <v>281</v>
      </c>
    </row>
    <row r="78" spans="1:3" x14ac:dyDescent="0.25">
      <c r="A78" s="52" t="s">
        <v>145</v>
      </c>
      <c r="B78" s="52" t="s">
        <v>206</v>
      </c>
      <c r="C78" s="52" t="s">
        <v>262</v>
      </c>
    </row>
    <row r="79" spans="1:3" x14ac:dyDescent="0.25">
      <c r="A79" s="52" t="s">
        <v>145</v>
      </c>
      <c r="B79" s="52" t="s">
        <v>206</v>
      </c>
      <c r="C79" s="52" t="s">
        <v>275</v>
      </c>
    </row>
    <row r="80" spans="1:3" x14ac:dyDescent="0.25">
      <c r="A80" s="52" t="s">
        <v>145</v>
      </c>
      <c r="B80" s="52" t="s">
        <v>206</v>
      </c>
      <c r="C80" s="52" t="s">
        <v>282</v>
      </c>
    </row>
    <row r="81" spans="1:3" ht="45" x14ac:dyDescent="0.25">
      <c r="A81" s="52" t="s">
        <v>145</v>
      </c>
      <c r="B81" s="52" t="s">
        <v>208</v>
      </c>
      <c r="C81" s="52" t="s">
        <v>283</v>
      </c>
    </row>
    <row r="82" spans="1:3" ht="45" x14ac:dyDescent="0.25">
      <c r="A82" s="52" t="s">
        <v>145</v>
      </c>
      <c r="B82" s="52" t="s">
        <v>208</v>
      </c>
      <c r="C82" s="52" t="s">
        <v>284</v>
      </c>
    </row>
    <row r="83" spans="1:3" ht="45" x14ac:dyDescent="0.25">
      <c r="A83" s="52" t="s">
        <v>145</v>
      </c>
      <c r="B83" s="52" t="s">
        <v>208</v>
      </c>
      <c r="C83" s="52" t="s">
        <v>285</v>
      </c>
    </row>
    <row r="84" spans="1:3" ht="45" x14ac:dyDescent="0.25">
      <c r="A84" s="52" t="s">
        <v>145</v>
      </c>
      <c r="B84" s="52" t="s">
        <v>208</v>
      </c>
      <c r="C84" s="52" t="s">
        <v>281</v>
      </c>
    </row>
    <row r="85" spans="1:3" ht="30" x14ac:dyDescent="0.25">
      <c r="A85" s="52" t="s">
        <v>145</v>
      </c>
      <c r="B85" s="52" t="s">
        <v>154</v>
      </c>
      <c r="C85" s="52" t="s">
        <v>286</v>
      </c>
    </row>
    <row r="86" spans="1:3" x14ac:dyDescent="0.25">
      <c r="A86" s="52" t="s">
        <v>145</v>
      </c>
      <c r="B86" s="52" t="s">
        <v>154</v>
      </c>
      <c r="C86" s="52" t="s">
        <v>287</v>
      </c>
    </row>
    <row r="87" spans="1:3" x14ac:dyDescent="0.25">
      <c r="A87" s="52" t="s">
        <v>199</v>
      </c>
      <c r="B87" s="52" t="s">
        <v>142</v>
      </c>
      <c r="C87" s="52" t="s">
        <v>288</v>
      </c>
    </row>
    <row r="88" spans="1:3" ht="30" x14ac:dyDescent="0.25">
      <c r="A88" s="52" t="s">
        <v>199</v>
      </c>
      <c r="B88" s="52" t="s">
        <v>142</v>
      </c>
      <c r="C88" s="52" t="s">
        <v>289</v>
      </c>
    </row>
    <row r="89" spans="1:3" x14ac:dyDescent="0.25">
      <c r="A89" s="52" t="s">
        <v>199</v>
      </c>
      <c r="B89" s="52" t="s">
        <v>142</v>
      </c>
      <c r="C89" s="52" t="s">
        <v>290</v>
      </c>
    </row>
    <row r="90" spans="1:3" ht="30" x14ac:dyDescent="0.25">
      <c r="A90" s="52" t="s">
        <v>200</v>
      </c>
      <c r="B90" s="52" t="s">
        <v>207</v>
      </c>
      <c r="C90" s="52" t="s">
        <v>209</v>
      </c>
    </row>
    <row r="91" spans="1:3" ht="30" x14ac:dyDescent="0.25">
      <c r="A91" s="52" t="s">
        <v>200</v>
      </c>
      <c r="B91" s="52" t="s">
        <v>207</v>
      </c>
      <c r="C91" s="52" t="s">
        <v>210</v>
      </c>
    </row>
    <row r="92" spans="1:3" ht="30" x14ac:dyDescent="0.25">
      <c r="A92" s="52" t="s">
        <v>200</v>
      </c>
      <c r="B92" s="52" t="s">
        <v>207</v>
      </c>
      <c r="C92" s="52" t="s">
        <v>211</v>
      </c>
    </row>
    <row r="93" spans="1:3" ht="30" x14ac:dyDescent="0.25">
      <c r="A93" s="52" t="s">
        <v>200</v>
      </c>
      <c r="B93" s="52" t="s">
        <v>207</v>
      </c>
      <c r="C93" s="52" t="s">
        <v>212</v>
      </c>
    </row>
    <row r="94" spans="1:3" ht="30" x14ac:dyDescent="0.25">
      <c r="A94" s="52" t="s">
        <v>200</v>
      </c>
      <c r="B94" s="52" t="s">
        <v>291</v>
      </c>
      <c r="C94" s="52" t="s">
        <v>292</v>
      </c>
    </row>
    <row r="95" spans="1:3" ht="30" x14ac:dyDescent="0.25">
      <c r="A95" s="52" t="s">
        <v>200</v>
      </c>
      <c r="B95" s="52" t="s">
        <v>291</v>
      </c>
      <c r="C95" s="52" t="s">
        <v>293</v>
      </c>
    </row>
    <row r="96" spans="1:3" ht="30" x14ac:dyDescent="0.25">
      <c r="A96" s="52" t="s">
        <v>200</v>
      </c>
      <c r="B96" s="52" t="s">
        <v>291</v>
      </c>
      <c r="C96" s="52" t="s">
        <v>294</v>
      </c>
    </row>
    <row r="97" spans="1:3" ht="30" x14ac:dyDescent="0.25">
      <c r="A97" s="52" t="s">
        <v>200</v>
      </c>
      <c r="B97" s="52" t="s">
        <v>291</v>
      </c>
      <c r="C97" s="52" t="s">
        <v>295</v>
      </c>
    </row>
    <row r="98" spans="1:3" ht="30" x14ac:dyDescent="0.25">
      <c r="A98" s="52" t="s">
        <v>200</v>
      </c>
      <c r="B98" s="52" t="s">
        <v>291</v>
      </c>
      <c r="C98" s="52" t="s">
        <v>296</v>
      </c>
    </row>
    <row r="99" spans="1:3" ht="30" x14ac:dyDescent="0.25">
      <c r="A99" s="52" t="s">
        <v>200</v>
      </c>
      <c r="B99" s="52" t="s">
        <v>291</v>
      </c>
      <c r="C99" s="52" t="s">
        <v>297</v>
      </c>
    </row>
    <row r="100" spans="1:3" ht="30" x14ac:dyDescent="0.25">
      <c r="A100" s="52" t="s">
        <v>200</v>
      </c>
      <c r="B100" s="52" t="s">
        <v>291</v>
      </c>
      <c r="C100" s="52" t="s">
        <v>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D1"/>
  <sheetViews>
    <sheetView workbookViewId="0">
      <selection activeCell="E3" sqref="E3"/>
    </sheetView>
  </sheetViews>
  <sheetFormatPr defaultRowHeight="15" x14ac:dyDescent="0.25"/>
  <cols>
    <col min="1" max="1" width="14" bestFit="1" customWidth="1"/>
    <col min="2" max="2" width="10.140625" bestFit="1" customWidth="1"/>
    <col min="3" max="3" width="7.7109375" bestFit="1" customWidth="1"/>
    <col min="4" max="4" width="9.7109375" bestFit="1" customWidth="1"/>
  </cols>
  <sheetData>
    <row r="1" spans="1:4" x14ac:dyDescent="0.25">
      <c r="A1" s="50" t="s">
        <v>192</v>
      </c>
      <c r="B1" s="50" t="s">
        <v>193</v>
      </c>
      <c r="C1" s="50" t="s">
        <v>194</v>
      </c>
      <c r="D1" s="50" t="s">
        <v>195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9"/>
  <sheetViews>
    <sheetView workbookViewId="0">
      <selection activeCell="C21" sqref="C21"/>
    </sheetView>
  </sheetViews>
  <sheetFormatPr defaultRowHeight="15" x14ac:dyDescent="0.25"/>
  <cols>
    <col min="1" max="1" width="16.42578125" bestFit="1" customWidth="1"/>
    <col min="2" max="2" width="25" bestFit="1" customWidth="1"/>
    <col min="3" max="3" width="29.85546875" bestFit="1" customWidth="1"/>
    <col min="4" max="4" width="29.85546875" customWidth="1"/>
    <col min="5" max="5" width="13.7109375" bestFit="1" customWidth="1"/>
    <col min="7" max="7" width="15.28515625" bestFit="1" customWidth="1"/>
    <col min="8" max="8" width="20.85546875" bestFit="1" customWidth="1"/>
  </cols>
  <sheetData>
    <row r="1" spans="1:8" x14ac:dyDescent="0.25">
      <c r="A1" s="4" t="s">
        <v>163</v>
      </c>
      <c r="B1" s="1" t="s">
        <v>150</v>
      </c>
      <c r="C1" s="1" t="s">
        <v>151</v>
      </c>
      <c r="D1" s="1" t="s">
        <v>161</v>
      </c>
      <c r="E1" s="1" t="s">
        <v>162</v>
      </c>
      <c r="G1" t="s">
        <v>174</v>
      </c>
      <c r="H1" t="s">
        <v>176</v>
      </c>
    </row>
    <row r="2" spans="1:8" x14ac:dyDescent="0.25">
      <c r="A2" s="43"/>
      <c r="G2" t="s">
        <v>166</v>
      </c>
      <c r="H2" t="s">
        <v>41</v>
      </c>
    </row>
    <row r="3" spans="1:8" x14ac:dyDescent="0.25">
      <c r="G3" t="s">
        <v>167</v>
      </c>
      <c r="H3" t="s">
        <v>29</v>
      </c>
    </row>
    <row r="4" spans="1:8" x14ac:dyDescent="0.25">
      <c r="G4" t="s">
        <v>168</v>
      </c>
      <c r="H4" t="s">
        <v>154</v>
      </c>
    </row>
    <row r="5" spans="1:8" x14ac:dyDescent="0.25">
      <c r="G5" t="s">
        <v>169</v>
      </c>
    </row>
    <row r="6" spans="1:8" x14ac:dyDescent="0.25">
      <c r="G6" t="s">
        <v>170</v>
      </c>
    </row>
    <row r="7" spans="1:8" x14ac:dyDescent="0.25">
      <c r="G7" t="s">
        <v>171</v>
      </c>
    </row>
    <row r="8" spans="1:8" x14ac:dyDescent="0.25">
      <c r="G8" t="s">
        <v>173</v>
      </c>
    </row>
    <row r="9" spans="1:8" x14ac:dyDescent="0.25">
      <c r="G9" t="s">
        <v>154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21"/>
  <sheetViews>
    <sheetView tabSelected="1" workbookViewId="0">
      <selection activeCell="E15" sqref="E15"/>
    </sheetView>
  </sheetViews>
  <sheetFormatPr defaultRowHeight="15" x14ac:dyDescent="0.25"/>
  <cols>
    <col min="1" max="1" width="20.42578125" customWidth="1"/>
    <col min="2" max="2" width="24.85546875" bestFit="1" customWidth="1"/>
    <col min="3" max="3" width="24.85546875" customWidth="1"/>
    <col min="4" max="4" width="17.7109375" customWidth="1"/>
    <col min="5" max="5" width="17.42578125" customWidth="1"/>
    <col min="6" max="6" width="25.28515625" bestFit="1" customWidth="1"/>
    <col min="7" max="7" width="19.5703125" bestFit="1" customWidth="1"/>
    <col min="8" max="8" width="13" customWidth="1"/>
    <col min="9" max="9" width="17.7109375" bestFit="1" customWidth="1"/>
    <col min="10" max="10" width="18" customWidth="1"/>
    <col min="11" max="11" width="28" bestFit="1" customWidth="1"/>
    <col min="12" max="12" width="16.42578125" customWidth="1"/>
  </cols>
  <sheetData>
    <row r="1" spans="1:12" x14ac:dyDescent="0.25">
      <c r="A1" s="1" t="s">
        <v>1</v>
      </c>
      <c r="B1" s="1" t="s">
        <v>127</v>
      </c>
      <c r="C1" s="1" t="s">
        <v>83</v>
      </c>
      <c r="D1" s="1" t="s">
        <v>2</v>
      </c>
      <c r="E1" s="1" t="s">
        <v>5</v>
      </c>
      <c r="F1" s="1" t="s">
        <v>45</v>
      </c>
      <c r="G1" s="1" t="s">
        <v>18</v>
      </c>
      <c r="H1" s="1" t="s">
        <v>19</v>
      </c>
      <c r="I1" s="1" t="s">
        <v>21</v>
      </c>
      <c r="J1" s="1" t="s">
        <v>20</v>
      </c>
      <c r="K1" s="1" t="s">
        <v>36</v>
      </c>
      <c r="L1" s="1" t="s">
        <v>3</v>
      </c>
    </row>
    <row r="2" spans="1:12" x14ac:dyDescent="0.25">
      <c r="A2" s="8">
        <v>101</v>
      </c>
      <c r="B2" t="s">
        <v>63</v>
      </c>
      <c r="C2" t="s">
        <v>84</v>
      </c>
      <c r="D2" s="8">
        <v>1</v>
      </c>
      <c r="E2" s="8" t="s">
        <v>64</v>
      </c>
      <c r="F2" t="s">
        <v>14</v>
      </c>
      <c r="G2" s="36">
        <v>1500</v>
      </c>
      <c r="H2" s="36">
        <v>800</v>
      </c>
      <c r="I2" s="36">
        <v>21000</v>
      </c>
      <c r="K2" t="s">
        <v>37</v>
      </c>
    </row>
    <row r="3" spans="1:12" x14ac:dyDescent="0.25">
      <c r="A3" s="8">
        <v>102</v>
      </c>
      <c r="B3" t="s">
        <v>78</v>
      </c>
      <c r="C3" t="s">
        <v>84</v>
      </c>
      <c r="D3" s="8">
        <v>1</v>
      </c>
      <c r="E3" s="8" t="s">
        <v>64</v>
      </c>
      <c r="F3" t="s">
        <v>50</v>
      </c>
      <c r="G3" s="36">
        <v>1500</v>
      </c>
      <c r="H3" s="36">
        <v>800</v>
      </c>
      <c r="I3" s="36">
        <v>21000</v>
      </c>
      <c r="K3" t="s">
        <v>37</v>
      </c>
    </row>
    <row r="4" spans="1:12" x14ac:dyDescent="0.25">
      <c r="A4" s="8">
        <v>103</v>
      </c>
      <c r="B4" t="s">
        <v>196</v>
      </c>
      <c r="C4" t="s">
        <v>85</v>
      </c>
      <c r="D4" s="8">
        <v>1</v>
      </c>
      <c r="E4" s="8" t="s">
        <v>86</v>
      </c>
      <c r="F4" t="s">
        <v>87</v>
      </c>
      <c r="G4" s="36"/>
      <c r="H4" s="36"/>
      <c r="I4" s="36"/>
    </row>
    <row r="5" spans="1:12" x14ac:dyDescent="0.25">
      <c r="A5" s="8">
        <v>201</v>
      </c>
      <c r="B5" t="s">
        <v>66</v>
      </c>
      <c r="C5" t="s">
        <v>84</v>
      </c>
      <c r="D5" s="8">
        <v>2</v>
      </c>
      <c r="E5" s="8" t="s">
        <v>64</v>
      </c>
      <c r="F5" t="s">
        <v>50</v>
      </c>
      <c r="G5" s="36">
        <v>1500</v>
      </c>
      <c r="H5" s="36">
        <v>800</v>
      </c>
      <c r="I5" s="36">
        <v>21000</v>
      </c>
      <c r="K5" t="s">
        <v>37</v>
      </c>
    </row>
    <row r="6" spans="1:12" x14ac:dyDescent="0.25">
      <c r="A6" s="8">
        <v>202</v>
      </c>
      <c r="B6" t="s">
        <v>67</v>
      </c>
      <c r="C6" t="s">
        <v>84</v>
      </c>
      <c r="D6" s="8">
        <v>2</v>
      </c>
      <c r="E6" s="8" t="s">
        <v>64</v>
      </c>
      <c r="F6" t="s">
        <v>14</v>
      </c>
      <c r="G6" s="36">
        <v>1500</v>
      </c>
      <c r="H6" s="36">
        <v>800</v>
      </c>
      <c r="I6" s="36">
        <v>21000</v>
      </c>
      <c r="K6" t="s">
        <v>37</v>
      </c>
    </row>
    <row r="7" spans="1:12" x14ac:dyDescent="0.25">
      <c r="A7" s="8">
        <v>203</v>
      </c>
      <c r="B7" t="s">
        <v>73</v>
      </c>
      <c r="C7" t="s">
        <v>84</v>
      </c>
      <c r="D7" s="8">
        <v>2</v>
      </c>
      <c r="E7" s="8" t="s">
        <v>70</v>
      </c>
      <c r="F7" t="s">
        <v>12</v>
      </c>
      <c r="G7" s="36">
        <v>1000</v>
      </c>
      <c r="H7" s="36">
        <v>500</v>
      </c>
      <c r="I7" s="36">
        <v>16000</v>
      </c>
      <c r="K7" t="s">
        <v>37</v>
      </c>
    </row>
    <row r="8" spans="1:12" x14ac:dyDescent="0.25">
      <c r="A8" s="8">
        <v>204</v>
      </c>
      <c r="B8" t="s">
        <v>74</v>
      </c>
      <c r="C8" t="s">
        <v>84</v>
      </c>
      <c r="D8" s="8">
        <v>2</v>
      </c>
      <c r="E8" s="8" t="s">
        <v>70</v>
      </c>
      <c r="F8" t="s">
        <v>12</v>
      </c>
      <c r="G8" s="36">
        <v>1000</v>
      </c>
      <c r="H8" s="36">
        <v>500</v>
      </c>
      <c r="I8" s="36">
        <v>16000</v>
      </c>
      <c r="K8" t="s">
        <v>37</v>
      </c>
    </row>
    <row r="9" spans="1:12" x14ac:dyDescent="0.25">
      <c r="A9" s="8">
        <v>301</v>
      </c>
      <c r="B9" t="s">
        <v>75</v>
      </c>
      <c r="C9" t="s">
        <v>84</v>
      </c>
      <c r="D9" s="8">
        <v>3</v>
      </c>
      <c r="E9" s="8" t="s">
        <v>64</v>
      </c>
      <c r="F9" t="s">
        <v>12</v>
      </c>
      <c r="G9" s="36">
        <v>1500</v>
      </c>
      <c r="H9" s="36">
        <v>800</v>
      </c>
      <c r="I9" s="36">
        <v>21000</v>
      </c>
      <c r="K9" t="s">
        <v>37</v>
      </c>
    </row>
    <row r="10" spans="1:12" x14ac:dyDescent="0.25">
      <c r="A10" s="8">
        <v>302</v>
      </c>
      <c r="B10" t="s">
        <v>65</v>
      </c>
      <c r="C10" t="s">
        <v>84</v>
      </c>
      <c r="D10" s="8">
        <v>3</v>
      </c>
      <c r="E10" s="8" t="s">
        <v>64</v>
      </c>
      <c r="F10" t="s">
        <v>14</v>
      </c>
      <c r="G10" s="36">
        <v>1500</v>
      </c>
      <c r="H10" s="36">
        <v>800</v>
      </c>
      <c r="I10" s="36">
        <v>21000</v>
      </c>
      <c r="K10" t="s">
        <v>37</v>
      </c>
    </row>
    <row r="11" spans="1:12" x14ac:dyDescent="0.25">
      <c r="A11" s="8">
        <v>303</v>
      </c>
      <c r="B11" t="s">
        <v>79</v>
      </c>
      <c r="C11" t="s">
        <v>84</v>
      </c>
      <c r="D11" s="8">
        <v>3</v>
      </c>
      <c r="E11" s="8" t="s">
        <v>70</v>
      </c>
      <c r="F11" t="s">
        <v>13</v>
      </c>
      <c r="G11" s="36">
        <v>1000</v>
      </c>
      <c r="H11" s="36">
        <v>500</v>
      </c>
      <c r="I11" s="36">
        <v>16000</v>
      </c>
      <c r="K11" t="s">
        <v>37</v>
      </c>
    </row>
    <row r="12" spans="1:12" x14ac:dyDescent="0.25">
      <c r="A12" s="8">
        <v>304</v>
      </c>
      <c r="B12" t="s">
        <v>77</v>
      </c>
      <c r="C12" t="s">
        <v>84</v>
      </c>
      <c r="D12" s="8">
        <v>3</v>
      </c>
      <c r="E12" s="8" t="s">
        <v>70</v>
      </c>
      <c r="F12" t="s">
        <v>12</v>
      </c>
      <c r="G12" s="36">
        <v>1000</v>
      </c>
      <c r="H12" s="36">
        <v>500</v>
      </c>
      <c r="I12" s="36">
        <v>16000</v>
      </c>
      <c r="K12" t="s">
        <v>37</v>
      </c>
    </row>
    <row r="13" spans="1:12" x14ac:dyDescent="0.25">
      <c r="A13" s="8">
        <v>401</v>
      </c>
      <c r="B13" t="s">
        <v>68</v>
      </c>
      <c r="C13" t="s">
        <v>84</v>
      </c>
      <c r="D13" s="8">
        <v>4</v>
      </c>
      <c r="E13" s="8" t="s">
        <v>64</v>
      </c>
      <c r="F13" t="s">
        <v>50</v>
      </c>
      <c r="G13" s="36">
        <v>1500</v>
      </c>
      <c r="H13" s="36">
        <v>800</v>
      </c>
      <c r="I13" s="36">
        <v>21000</v>
      </c>
      <c r="K13" t="s">
        <v>37</v>
      </c>
    </row>
    <row r="14" spans="1:12" x14ac:dyDescent="0.25">
      <c r="A14" s="8">
        <v>402</v>
      </c>
      <c r="B14" t="s">
        <v>69</v>
      </c>
      <c r="C14" t="s">
        <v>84</v>
      </c>
      <c r="D14" s="8">
        <v>4</v>
      </c>
      <c r="E14" s="8" t="s">
        <v>70</v>
      </c>
      <c r="F14" t="s">
        <v>15</v>
      </c>
      <c r="G14" s="36">
        <v>1000</v>
      </c>
      <c r="H14" s="36">
        <v>500</v>
      </c>
      <c r="I14" s="36">
        <v>16000</v>
      </c>
      <c r="K14" t="s">
        <v>37</v>
      </c>
    </row>
    <row r="15" spans="1:12" x14ac:dyDescent="0.25">
      <c r="A15" s="8">
        <v>403</v>
      </c>
      <c r="B15" t="s">
        <v>76</v>
      </c>
      <c r="C15" t="s">
        <v>84</v>
      </c>
      <c r="D15" s="8">
        <v>4</v>
      </c>
      <c r="E15" s="8" t="s">
        <v>70</v>
      </c>
      <c r="F15" t="s">
        <v>12</v>
      </c>
      <c r="G15" s="36">
        <v>1000</v>
      </c>
      <c r="H15" s="36">
        <v>500</v>
      </c>
      <c r="I15" s="36">
        <v>16000</v>
      </c>
      <c r="K15" t="s">
        <v>37</v>
      </c>
    </row>
    <row r="16" spans="1:12" x14ac:dyDescent="0.25">
      <c r="A16" s="8">
        <v>404</v>
      </c>
      <c r="B16" t="s">
        <v>80</v>
      </c>
      <c r="C16" t="s">
        <v>84</v>
      </c>
      <c r="D16" s="8">
        <v>4</v>
      </c>
      <c r="E16" s="8" t="s">
        <v>70</v>
      </c>
      <c r="F16" t="s">
        <v>13</v>
      </c>
      <c r="G16" s="36">
        <v>1000</v>
      </c>
      <c r="H16" s="36">
        <v>500</v>
      </c>
      <c r="I16" s="36">
        <v>16000</v>
      </c>
      <c r="K16" t="s">
        <v>37</v>
      </c>
    </row>
    <row r="17" spans="1:11" x14ac:dyDescent="0.25">
      <c r="A17" s="8">
        <v>501</v>
      </c>
      <c r="B17" t="s">
        <v>71</v>
      </c>
      <c r="C17" t="s">
        <v>84</v>
      </c>
      <c r="D17" s="8">
        <v>5</v>
      </c>
      <c r="E17" s="8" t="s">
        <v>64</v>
      </c>
      <c r="F17" t="s">
        <v>15</v>
      </c>
      <c r="G17" s="36">
        <v>1500</v>
      </c>
      <c r="H17" s="36">
        <v>800</v>
      </c>
      <c r="I17" s="36">
        <v>21000</v>
      </c>
      <c r="K17" t="s">
        <v>37</v>
      </c>
    </row>
    <row r="18" spans="1:11" x14ac:dyDescent="0.25">
      <c r="A18" s="8">
        <v>502</v>
      </c>
      <c r="B18" t="s">
        <v>72</v>
      </c>
      <c r="C18" t="s">
        <v>84</v>
      </c>
      <c r="D18" s="8">
        <v>5</v>
      </c>
      <c r="E18" s="8" t="s">
        <v>64</v>
      </c>
      <c r="F18" t="s">
        <v>15</v>
      </c>
      <c r="G18" s="36">
        <v>1500</v>
      </c>
      <c r="H18" s="36">
        <v>800</v>
      </c>
      <c r="I18" s="36">
        <v>21000</v>
      </c>
      <c r="K18" t="s">
        <v>37</v>
      </c>
    </row>
    <row r="19" spans="1:11" x14ac:dyDescent="0.25">
      <c r="A19" s="8">
        <v>503</v>
      </c>
      <c r="B19" t="s">
        <v>81</v>
      </c>
      <c r="C19" t="s">
        <v>84</v>
      </c>
      <c r="D19" s="8">
        <v>5</v>
      </c>
      <c r="E19" s="8" t="s">
        <v>70</v>
      </c>
      <c r="F19" t="s">
        <v>13</v>
      </c>
      <c r="G19" s="36">
        <v>1000</v>
      </c>
      <c r="H19" s="36">
        <v>500</v>
      </c>
      <c r="I19" s="36">
        <v>16000</v>
      </c>
      <c r="K19" t="s">
        <v>37</v>
      </c>
    </row>
    <row r="20" spans="1:11" x14ac:dyDescent="0.25">
      <c r="A20" s="8">
        <v>504</v>
      </c>
      <c r="B20" t="s">
        <v>82</v>
      </c>
      <c r="C20" t="s">
        <v>84</v>
      </c>
      <c r="D20" s="8">
        <v>5</v>
      </c>
      <c r="E20" s="8" t="s">
        <v>70</v>
      </c>
      <c r="F20" t="s">
        <v>13</v>
      </c>
      <c r="G20" s="36">
        <v>1000</v>
      </c>
      <c r="H20" s="36">
        <v>500</v>
      </c>
      <c r="I20" s="36">
        <v>16000</v>
      </c>
      <c r="K20" t="s">
        <v>37</v>
      </c>
    </row>
    <row r="21" spans="1:11" x14ac:dyDescent="0.25">
      <c r="A21" s="8">
        <v>601</v>
      </c>
      <c r="B21" t="s">
        <v>196</v>
      </c>
      <c r="C21" t="s">
        <v>85</v>
      </c>
      <c r="D21" s="8">
        <v>6</v>
      </c>
      <c r="E21" s="8" t="s">
        <v>197</v>
      </c>
      <c r="F21" t="s">
        <v>87</v>
      </c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InputVals!$C$2:$C$20</xm:f>
          </x14:formula1>
          <xm:sqref>A2:A20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C1"/>
  <sheetViews>
    <sheetView workbookViewId="0">
      <selection activeCell="F7" sqref="F7"/>
    </sheetView>
  </sheetViews>
  <sheetFormatPr defaultRowHeight="15" x14ac:dyDescent="0.25"/>
  <cols>
    <col min="1" max="1" width="18.5703125" bestFit="1" customWidth="1"/>
    <col min="2" max="2" width="19.140625" bestFit="1" customWidth="1"/>
    <col min="3" max="3" width="16.5703125" bestFit="1" customWidth="1"/>
  </cols>
  <sheetData>
    <row r="1" spans="1:3" x14ac:dyDescent="0.25">
      <c r="A1" s="4" t="s">
        <v>1</v>
      </c>
      <c r="B1" s="4" t="s">
        <v>133</v>
      </c>
      <c r="C1" s="4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C1"/>
  <sheetViews>
    <sheetView workbookViewId="0">
      <selection activeCell="C7" sqref="C7"/>
    </sheetView>
  </sheetViews>
  <sheetFormatPr defaultRowHeight="15" x14ac:dyDescent="0.25"/>
  <cols>
    <col min="1" max="1" width="18.5703125" bestFit="1" customWidth="1"/>
    <col min="2" max="2" width="19.140625" bestFit="1" customWidth="1"/>
    <col min="3" max="3" width="16.5703125" bestFit="1" customWidth="1"/>
  </cols>
  <sheetData>
    <row r="1" spans="1:3" x14ac:dyDescent="0.25">
      <c r="A1" s="4" t="s">
        <v>1</v>
      </c>
      <c r="B1" s="4" t="s">
        <v>131</v>
      </c>
      <c r="C1" s="4" t="s">
        <v>132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D1"/>
  <sheetViews>
    <sheetView workbookViewId="0">
      <selection activeCell="F3" sqref="F3"/>
    </sheetView>
  </sheetViews>
  <sheetFormatPr defaultRowHeight="15" x14ac:dyDescent="0.25"/>
  <cols>
    <col min="1" max="1" width="20.42578125" customWidth="1"/>
    <col min="2" max="2" width="18.42578125" customWidth="1"/>
    <col min="3" max="3" width="27" customWidth="1"/>
    <col min="4" max="4" width="24.5703125" customWidth="1"/>
  </cols>
  <sheetData>
    <row r="1" spans="1:4" x14ac:dyDescent="0.25">
      <c r="A1" s="1" t="s">
        <v>1</v>
      </c>
      <c r="B1" s="1" t="s">
        <v>36</v>
      </c>
      <c r="C1" s="1" t="s">
        <v>39</v>
      </c>
      <c r="D1" s="1" t="s">
        <v>40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InputVals!$C$2:$C$20</xm:f>
          </x14:formula1>
          <xm:sqref>A2</xm:sqref>
        </x14:dataValidation>
        <x14:dataValidation type="list" allowBlank="1" showInputMessage="1" showErrorMessage="1" xr:uid="{00000000-0002-0000-0800-000001000000}">
          <x14:formula1>
            <xm:f>InputVals!$I$2:$I$3</xm:f>
          </x14:formula1>
          <xm:sqref>B2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I50"/>
  <sheetViews>
    <sheetView topLeftCell="A22" workbookViewId="0">
      <selection activeCell="E39" sqref="E39"/>
    </sheetView>
  </sheetViews>
  <sheetFormatPr defaultRowHeight="15" x14ac:dyDescent="0.25"/>
  <cols>
    <col min="1" max="1" width="20.42578125" customWidth="1"/>
    <col min="2" max="3" width="30.28515625" bestFit="1" customWidth="1"/>
    <col min="4" max="4" width="18.5703125" bestFit="1" customWidth="1"/>
    <col min="5" max="5" width="18.85546875" customWidth="1"/>
    <col min="6" max="7" width="21.7109375" bestFit="1" customWidth="1"/>
    <col min="8" max="9" width="23" bestFit="1" customWidth="1"/>
  </cols>
  <sheetData>
    <row r="1" spans="1:9" x14ac:dyDescent="0.25">
      <c r="A1" s="1" t="s">
        <v>1</v>
      </c>
      <c r="B1" s="1" t="s">
        <v>130</v>
      </c>
      <c r="C1" s="1" t="s">
        <v>16</v>
      </c>
      <c r="D1" s="1" t="s">
        <v>17</v>
      </c>
      <c r="E1" s="1" t="s">
        <v>135</v>
      </c>
      <c r="F1" s="1" t="s">
        <v>112</v>
      </c>
      <c r="G1" s="1" t="s">
        <v>137</v>
      </c>
      <c r="H1" s="1" t="s">
        <v>113</v>
      </c>
      <c r="I1" s="42" t="s">
        <v>136</v>
      </c>
    </row>
    <row r="2" spans="1:9" x14ac:dyDescent="0.25">
      <c r="A2" s="8">
        <v>401</v>
      </c>
      <c r="B2" s="8" t="str">
        <f>VLOOKUP(Current_Tenants[[#This Row],[Apartment Number]],Table10[[Flat No]:[House ID]],3,FALSE)</f>
        <v>N35262</v>
      </c>
      <c r="C2" s="39" t="s">
        <v>101</v>
      </c>
      <c r="D2" s="1">
        <v>9621329594.1938553</v>
      </c>
      <c r="E2" s="1" t="s">
        <v>138</v>
      </c>
      <c r="F2" s="41">
        <v>43382</v>
      </c>
      <c r="G2" s="41">
        <f>Current_Tenants[[#This Row],[Move-in Date]]-2</f>
        <v>43380</v>
      </c>
      <c r="H2" s="41">
        <v>43381</v>
      </c>
      <c r="I2" s="41">
        <f>Current_Tenants[[#This Row],[Move-out Date]]+1</f>
        <v>43382</v>
      </c>
    </row>
    <row r="3" spans="1:9" x14ac:dyDescent="0.25">
      <c r="A3" s="8">
        <v>402</v>
      </c>
      <c r="B3" s="8" t="str">
        <f>VLOOKUP(Current_Tenants[[#This Row],[Apartment Number]],Table10[[Flat No]:[House ID]],3,FALSE)</f>
        <v>N35407</v>
      </c>
      <c r="C3" s="39" t="s">
        <v>110</v>
      </c>
      <c r="D3">
        <v>274437771.57778221</v>
      </c>
      <c r="E3" s="1" t="s">
        <v>138</v>
      </c>
      <c r="F3" s="41">
        <v>43388</v>
      </c>
      <c r="G3" s="41">
        <f>Current_Tenants[[#This Row],[Move-in Date]]-2</f>
        <v>43386</v>
      </c>
      <c r="H3" s="41">
        <v>43376</v>
      </c>
      <c r="I3" s="41">
        <f>Current_Tenants[[#This Row],[Move-out Date]]+1</f>
        <v>43377</v>
      </c>
    </row>
    <row r="4" spans="1:9" x14ac:dyDescent="0.25">
      <c r="A4" s="8">
        <v>501</v>
      </c>
      <c r="B4" s="8" t="str">
        <f>VLOOKUP(Current_Tenants[[#This Row],[Apartment Number]],Table10[[Flat No]:[House ID]],3,FALSE)</f>
        <v>N35469</v>
      </c>
      <c r="C4" s="39" t="s">
        <v>118</v>
      </c>
      <c r="D4">
        <v>934205698.96712351</v>
      </c>
      <c r="E4" s="1" t="s">
        <v>138</v>
      </c>
      <c r="F4" s="41">
        <v>43388</v>
      </c>
      <c r="G4" s="41">
        <f>Current_Tenants[[#This Row],[Move-in Date]]-2</f>
        <v>43386</v>
      </c>
      <c r="H4" s="41">
        <v>43413</v>
      </c>
      <c r="I4" s="41">
        <f>Current_Tenants[[#This Row],[Move-out Date]]+1</f>
        <v>43414</v>
      </c>
    </row>
    <row r="5" spans="1:9" x14ac:dyDescent="0.25">
      <c r="A5" s="8">
        <v>502</v>
      </c>
      <c r="B5" s="8" t="str">
        <f>VLOOKUP(Current_Tenants[[#This Row],[Apartment Number]],Table10[[Flat No]:[House ID]],3,FALSE)</f>
        <v>N35411</v>
      </c>
      <c r="C5" t="s">
        <v>126</v>
      </c>
      <c r="D5">
        <v>9161291961.0420246</v>
      </c>
      <c r="E5" s="1" t="s">
        <v>138</v>
      </c>
      <c r="F5" s="41">
        <v>43394</v>
      </c>
      <c r="G5" s="41">
        <f>Current_Tenants[[#This Row],[Move-in Date]]-2</f>
        <v>43392</v>
      </c>
      <c r="H5" s="41">
        <v>43393</v>
      </c>
      <c r="I5" s="41">
        <f>Current_Tenants[[#This Row],[Move-out Date]]+1</f>
        <v>43394</v>
      </c>
    </row>
    <row r="6" spans="1:9" x14ac:dyDescent="0.25">
      <c r="A6" s="8">
        <v>401</v>
      </c>
      <c r="B6" s="8" t="str">
        <f>VLOOKUP(Current_Tenants[[#This Row],[Apartment Number]],Table10[[Flat No]:[House ID]],3,FALSE)</f>
        <v>N35262</v>
      </c>
      <c r="C6" s="39" t="s">
        <v>114</v>
      </c>
      <c r="D6" s="1">
        <v>2567671723.6945877</v>
      </c>
      <c r="E6" s="1" t="s">
        <v>138</v>
      </c>
      <c r="F6" s="41">
        <v>43397</v>
      </c>
      <c r="G6" s="41">
        <f>Current_Tenants[[#This Row],[Move-in Date]]-2</f>
        <v>43395</v>
      </c>
      <c r="H6" s="41">
        <v>43738</v>
      </c>
      <c r="I6" s="41">
        <f>Current_Tenants[[#This Row],[Move-out Date]]+1</f>
        <v>43739</v>
      </c>
    </row>
    <row r="7" spans="1:9" x14ac:dyDescent="0.25">
      <c r="A7" s="8">
        <v>402</v>
      </c>
      <c r="B7" s="8" t="str">
        <f>VLOOKUP(Current_Tenants[[#This Row],[Apartment Number]],Table10[[Flat No]:[House ID]],3,FALSE)</f>
        <v>N35407</v>
      </c>
      <c r="C7" s="39" t="s">
        <v>111</v>
      </c>
      <c r="D7">
        <v>1500965341.3634851</v>
      </c>
      <c r="E7" s="1" t="s">
        <v>138</v>
      </c>
      <c r="F7" s="41">
        <v>43415</v>
      </c>
      <c r="G7" s="41">
        <f>Current_Tenants[[#This Row],[Move-in Date]]-2</f>
        <v>43413</v>
      </c>
      <c r="H7" s="41">
        <v>43414</v>
      </c>
      <c r="I7" s="41">
        <f>Current_Tenants[[#This Row],[Move-out Date]]+1</f>
        <v>43415</v>
      </c>
    </row>
    <row r="8" spans="1:9" x14ac:dyDescent="0.25">
      <c r="A8" s="8">
        <v>501</v>
      </c>
      <c r="B8" s="8" t="str">
        <f>VLOOKUP(Current_Tenants[[#This Row],[Apartment Number]],Table10[[Flat No]:[House ID]],3,FALSE)</f>
        <v>N35469</v>
      </c>
      <c r="C8" s="39" t="s">
        <v>117</v>
      </c>
      <c r="D8">
        <v>7474130542.1035023</v>
      </c>
      <c r="E8" s="1" t="s">
        <v>138</v>
      </c>
      <c r="F8" s="41">
        <v>43429</v>
      </c>
      <c r="G8" s="41">
        <f>Current_Tenants[[#This Row],[Move-in Date]]-2</f>
        <v>43427</v>
      </c>
      <c r="H8" s="41">
        <v>43421</v>
      </c>
      <c r="I8" s="41">
        <f>Current_Tenants[[#This Row],[Move-out Date]]+1</f>
        <v>43422</v>
      </c>
    </row>
    <row r="9" spans="1:9" x14ac:dyDescent="0.25">
      <c r="A9" s="8">
        <v>502</v>
      </c>
      <c r="B9" s="8" t="str">
        <f>VLOOKUP(Current_Tenants[[#This Row],[Apartment Number]],Table10[[Flat No]:[House ID]],3,FALSE)</f>
        <v>N35411</v>
      </c>
      <c r="C9" t="s">
        <v>125</v>
      </c>
      <c r="D9">
        <v>3057647933.1324754</v>
      </c>
      <c r="E9" s="1" t="s">
        <v>138</v>
      </c>
      <c r="F9" s="41">
        <v>43429</v>
      </c>
      <c r="G9" s="41">
        <f>Current_Tenants[[#This Row],[Move-in Date]]-2</f>
        <v>43427</v>
      </c>
      <c r="H9" s="41">
        <v>43428</v>
      </c>
      <c r="I9" s="41">
        <f>Current_Tenants[[#This Row],[Move-out Date]]+1</f>
        <v>43429</v>
      </c>
    </row>
    <row r="10" spans="1:9" x14ac:dyDescent="0.25">
      <c r="A10" s="8">
        <v>402</v>
      </c>
      <c r="B10" s="8" t="str">
        <f>VLOOKUP(Current_Tenants[[#This Row],[Apartment Number]],Table10[[Flat No]:[House ID]],3,FALSE)</f>
        <v>N35407</v>
      </c>
      <c r="C10" s="39" t="s">
        <v>110</v>
      </c>
      <c r="D10">
        <v>4897395024.239254</v>
      </c>
      <c r="E10" s="1" t="s">
        <v>138</v>
      </c>
      <c r="F10" s="41">
        <v>43435</v>
      </c>
      <c r="G10" s="41">
        <f>Current_Tenants[[#This Row],[Move-in Date]]-2</f>
        <v>43433</v>
      </c>
      <c r="H10" s="41">
        <v>44486</v>
      </c>
      <c r="I10" s="41">
        <f>Current_Tenants[[#This Row],[Move-out Date]]+1</f>
        <v>44487</v>
      </c>
    </row>
    <row r="11" spans="1:9" x14ac:dyDescent="0.25">
      <c r="A11" s="8">
        <v>501</v>
      </c>
      <c r="B11" s="8" t="str">
        <f>VLOOKUP(Current_Tenants[[#This Row],[Apartment Number]],Table10[[Flat No]:[House ID]],3,FALSE)</f>
        <v>N35469</v>
      </c>
      <c r="C11" s="39" t="s">
        <v>117</v>
      </c>
      <c r="D11">
        <v>657595683.55103004</v>
      </c>
      <c r="E11" s="1" t="s">
        <v>138</v>
      </c>
      <c r="F11" s="41">
        <v>43435</v>
      </c>
      <c r="G11" s="41">
        <f>Current_Tenants[[#This Row],[Move-in Date]]-2</f>
        <v>43433</v>
      </c>
      <c r="H11" s="41">
        <v>43722</v>
      </c>
      <c r="I11" s="41">
        <f>Current_Tenants[[#This Row],[Move-out Date]]+1</f>
        <v>43723</v>
      </c>
    </row>
    <row r="12" spans="1:9" x14ac:dyDescent="0.25">
      <c r="A12" s="8">
        <v>502</v>
      </c>
      <c r="B12" s="8" t="str">
        <f>VLOOKUP(Current_Tenants[[#This Row],[Apartment Number]],Table10[[Flat No]:[House ID]],3,FALSE)</f>
        <v>N35411</v>
      </c>
      <c r="C12" t="s">
        <v>124</v>
      </c>
      <c r="D12">
        <v>3520580015.1474547</v>
      </c>
      <c r="E12" s="1" t="s">
        <v>138</v>
      </c>
      <c r="F12" s="41">
        <v>43439</v>
      </c>
      <c r="G12" s="41">
        <f>Current_Tenants[[#This Row],[Move-in Date]]-2</f>
        <v>43437</v>
      </c>
      <c r="H12" s="41">
        <v>43436</v>
      </c>
      <c r="I12" s="41">
        <f>Current_Tenants[[#This Row],[Move-out Date]]+1</f>
        <v>43437</v>
      </c>
    </row>
    <row r="13" spans="1:9" x14ac:dyDescent="0.25">
      <c r="A13" s="8">
        <v>502</v>
      </c>
      <c r="B13" s="8" t="str">
        <f>VLOOKUP(Current_Tenants[[#This Row],[Apartment Number]],Table10[[Flat No]:[House ID]],3,FALSE)</f>
        <v>N35411</v>
      </c>
      <c r="C13" t="s">
        <v>123</v>
      </c>
      <c r="D13">
        <v>1701585928.8471866</v>
      </c>
      <c r="E13" s="1" t="s">
        <v>138</v>
      </c>
      <c r="F13" s="41">
        <v>43457</v>
      </c>
      <c r="G13" s="41">
        <f>Current_Tenants[[#This Row],[Move-in Date]]-2</f>
        <v>43455</v>
      </c>
      <c r="H13" s="41">
        <v>44307</v>
      </c>
      <c r="I13" s="41">
        <f>Current_Tenants[[#This Row],[Move-out Date]]+1</f>
        <v>44308</v>
      </c>
    </row>
    <row r="14" spans="1:9" x14ac:dyDescent="0.25">
      <c r="A14" s="8">
        <v>501</v>
      </c>
      <c r="B14" s="8" t="str">
        <f>VLOOKUP(Current_Tenants[[#This Row],[Apartment Number]],Table10[[Flat No]:[House ID]],3,FALSE)</f>
        <v>N35469</v>
      </c>
      <c r="C14" t="s">
        <v>87</v>
      </c>
      <c r="D14">
        <v>1930844484.1129868</v>
      </c>
      <c r="E14" s="1" t="s">
        <v>138</v>
      </c>
      <c r="F14" s="41">
        <v>43741</v>
      </c>
      <c r="G14" s="41">
        <f>Current_Tenants[[#This Row],[Move-in Date]]-2</f>
        <v>43739</v>
      </c>
      <c r="H14" s="41">
        <v>43740</v>
      </c>
      <c r="I14" s="41">
        <f>Current_Tenants[[#This Row],[Move-out Date]]+1</f>
        <v>43741</v>
      </c>
    </row>
    <row r="15" spans="1:9" x14ac:dyDescent="0.25">
      <c r="A15" s="8">
        <v>401</v>
      </c>
      <c r="B15" s="8" t="str">
        <f>VLOOKUP(Current_Tenants[[#This Row],[Apartment Number]],Table10[[Flat No]:[House ID]],3,FALSE)</f>
        <v>N35262</v>
      </c>
      <c r="C15" s="39" t="s">
        <v>87</v>
      </c>
      <c r="D15" s="1">
        <v>4096200866.8634987</v>
      </c>
      <c r="E15" s="1" t="s">
        <v>138</v>
      </c>
      <c r="F15" s="41">
        <v>43762</v>
      </c>
      <c r="G15" s="41">
        <f>Current_Tenants[[#This Row],[Move-in Date]]-2</f>
        <v>43760</v>
      </c>
      <c r="H15" s="41">
        <v>43757</v>
      </c>
      <c r="I15" s="41">
        <f>Current_Tenants[[#This Row],[Move-out Date]]+1</f>
        <v>43758</v>
      </c>
    </row>
    <row r="16" spans="1:9" x14ac:dyDescent="0.25">
      <c r="A16" s="8">
        <v>501</v>
      </c>
      <c r="B16" s="8" t="str">
        <f>VLOOKUP(Current_Tenants[[#This Row],[Apartment Number]],Table10[[Flat No]:[House ID]],3,FALSE)</f>
        <v>N35469</v>
      </c>
      <c r="C16" s="39" t="s">
        <v>116</v>
      </c>
      <c r="D16">
        <v>7047672878.9393415</v>
      </c>
      <c r="E16" s="1" t="s">
        <v>138</v>
      </c>
      <c r="F16" s="41">
        <v>43764</v>
      </c>
      <c r="G16" s="41">
        <f>Current_Tenants[[#This Row],[Move-in Date]]-2</f>
        <v>43762</v>
      </c>
      <c r="H16" s="41">
        <v>44351</v>
      </c>
      <c r="I16" s="41">
        <f>Current_Tenants[[#This Row],[Move-out Date]]+1</f>
        <v>44352</v>
      </c>
    </row>
    <row r="17" spans="1:9" x14ac:dyDescent="0.25">
      <c r="A17" s="8">
        <v>401</v>
      </c>
      <c r="B17" s="8" t="str">
        <f>VLOOKUP(Current_Tenants[[#This Row],[Apartment Number]],Table10[[Flat No]:[House ID]],3,FALSE)</f>
        <v>N35262</v>
      </c>
      <c r="C17" s="39" t="s">
        <v>102</v>
      </c>
      <c r="D17">
        <v>3512765447.0248518</v>
      </c>
      <c r="E17" s="1" t="s">
        <v>138</v>
      </c>
      <c r="F17" s="41">
        <v>43782</v>
      </c>
      <c r="G17" s="41">
        <f>Current_Tenants[[#This Row],[Move-in Date]]-2</f>
        <v>43780</v>
      </c>
      <c r="H17" s="41">
        <v>44132</v>
      </c>
      <c r="I17" s="41">
        <f>Current_Tenants[[#This Row],[Move-out Date]]+1</f>
        <v>44133</v>
      </c>
    </row>
    <row r="18" spans="1:9" x14ac:dyDescent="0.25">
      <c r="A18" s="8">
        <v>401</v>
      </c>
      <c r="B18" s="8" t="str">
        <f>VLOOKUP(Current_Tenants[[#This Row],[Apartment Number]],Table10[[Flat No]:[House ID]],3,FALSE)</f>
        <v>N35262</v>
      </c>
      <c r="C18" t="s">
        <v>87</v>
      </c>
      <c r="D18">
        <v>712601733.27661824</v>
      </c>
      <c r="E18" s="1" t="s">
        <v>138</v>
      </c>
      <c r="F18" s="41">
        <v>44143</v>
      </c>
      <c r="G18" s="41">
        <f>Current_Tenants[[#This Row],[Move-in Date]]-2</f>
        <v>44141</v>
      </c>
      <c r="H18" s="41">
        <v>44186</v>
      </c>
      <c r="I18" s="41">
        <f>Current_Tenants[[#This Row],[Move-out Date]]+1</f>
        <v>44187</v>
      </c>
    </row>
    <row r="19" spans="1:9" x14ac:dyDescent="0.25">
      <c r="A19" s="8">
        <v>401</v>
      </c>
      <c r="B19" s="8" t="str">
        <f>VLOOKUP(Current_Tenants[[#This Row],[Apartment Number]],Table10[[Flat No]:[House ID]],3,FALSE)</f>
        <v>N35262</v>
      </c>
      <c r="C19" t="s">
        <v>103</v>
      </c>
      <c r="D19">
        <v>1131644278.5266039</v>
      </c>
      <c r="E19" s="1" t="s">
        <v>138</v>
      </c>
      <c r="F19" s="41">
        <v>44350</v>
      </c>
      <c r="G19" s="41">
        <f>Current_Tenants[[#This Row],[Move-in Date]]-2</f>
        <v>44348</v>
      </c>
      <c r="H19" s="41">
        <v>45060</v>
      </c>
      <c r="I19" s="41">
        <f>Current_Tenants[[#This Row],[Move-out Date]]+1</f>
        <v>45061</v>
      </c>
    </row>
    <row r="20" spans="1:9" x14ac:dyDescent="0.25">
      <c r="A20" s="8">
        <v>502</v>
      </c>
      <c r="B20" s="8" t="str">
        <f>VLOOKUP(Current_Tenants[[#This Row],[Apartment Number]],Table10[[Flat No]:[House ID]],3,FALSE)</f>
        <v>N35411</v>
      </c>
      <c r="C20" t="s">
        <v>122</v>
      </c>
      <c r="D20">
        <v>9191308032.7536812</v>
      </c>
      <c r="E20" s="1" t="s">
        <v>138</v>
      </c>
      <c r="F20" s="41">
        <v>44395</v>
      </c>
      <c r="G20" s="41">
        <f>Current_Tenants[[#This Row],[Move-in Date]]-2</f>
        <v>44393</v>
      </c>
      <c r="H20" s="41">
        <v>44394</v>
      </c>
      <c r="I20" s="41">
        <f>Current_Tenants[[#This Row],[Move-out Date]]+1</f>
        <v>44395</v>
      </c>
    </row>
    <row r="21" spans="1:9" x14ac:dyDescent="0.25">
      <c r="A21" s="8">
        <v>501</v>
      </c>
      <c r="B21" s="8" t="str">
        <f>VLOOKUP(Current_Tenants[[#This Row],[Apartment Number]],Table10[[Flat No]:[House ID]],3,FALSE)</f>
        <v>N35469</v>
      </c>
      <c r="C21" s="39" t="s">
        <v>115</v>
      </c>
      <c r="D21">
        <v>7939616177.5508556</v>
      </c>
      <c r="E21" s="1" t="s">
        <v>138</v>
      </c>
      <c r="F21" s="41">
        <v>44486</v>
      </c>
      <c r="G21" s="41">
        <f>Current_Tenants[[#This Row],[Move-in Date]]-2</f>
        <v>44484</v>
      </c>
      <c r="I21" s="41">
        <f>Current_Tenants[[#This Row],[Move-out Date]]+1</f>
        <v>1</v>
      </c>
    </row>
    <row r="22" spans="1:9" x14ac:dyDescent="0.25">
      <c r="A22" s="8">
        <v>502</v>
      </c>
      <c r="B22" s="8" t="str">
        <f>VLOOKUP(Current_Tenants[[#This Row],[Apartment Number]],Table10[[Flat No]:[House ID]],3,FALSE)</f>
        <v>N35411</v>
      </c>
      <c r="C22" s="39" t="s">
        <v>121</v>
      </c>
      <c r="D22">
        <v>5245825628.5996561</v>
      </c>
      <c r="E22" s="1" t="s">
        <v>138</v>
      </c>
      <c r="F22" s="41">
        <v>44535</v>
      </c>
      <c r="G22" s="41">
        <f>Current_Tenants[[#This Row],[Move-in Date]]-2</f>
        <v>44533</v>
      </c>
      <c r="H22" s="41">
        <v>45102</v>
      </c>
      <c r="I22" s="41">
        <f>Current_Tenants[[#This Row],[Move-out Date]]+1</f>
        <v>45103</v>
      </c>
    </row>
    <row r="23" spans="1:9" x14ac:dyDescent="0.25">
      <c r="A23" s="8">
        <v>402</v>
      </c>
      <c r="B23" s="8" t="str">
        <f>VLOOKUP(Current_Tenants[[#This Row],[Apartment Number]],Table10[[Flat No]:[House ID]],3,FALSE)</f>
        <v>N35407</v>
      </c>
      <c r="C23" s="39" t="s">
        <v>109</v>
      </c>
      <c r="D23">
        <v>3668161048.9460874</v>
      </c>
      <c r="E23" s="1" t="s">
        <v>138</v>
      </c>
      <c r="F23" s="41">
        <v>44591</v>
      </c>
      <c r="G23" s="41">
        <f>Current_Tenants[[#This Row],[Move-in Date]]-2</f>
        <v>44589</v>
      </c>
      <c r="H23" s="41">
        <v>45324</v>
      </c>
      <c r="I23" s="41">
        <f>Current_Tenants[[#This Row],[Move-out Date]]+1</f>
        <v>45325</v>
      </c>
    </row>
    <row r="24" spans="1:9" x14ac:dyDescent="0.25">
      <c r="A24" s="8">
        <v>401</v>
      </c>
      <c r="B24" s="8" t="str">
        <f>VLOOKUP(Current_Tenants[[#This Row],[Apartment Number]],Table10[[Flat No]:[House ID]],3,FALSE)</f>
        <v>N35262</v>
      </c>
      <c r="C24" t="s">
        <v>104</v>
      </c>
      <c r="D24">
        <v>5470542393.5967875</v>
      </c>
      <c r="E24" s="1" t="s">
        <v>138</v>
      </c>
      <c r="F24" s="41">
        <v>45061</v>
      </c>
      <c r="G24" s="41">
        <f>Current_Tenants[[#This Row],[Move-in Date]]-2</f>
        <v>45059</v>
      </c>
      <c r="H24" s="41">
        <v>45141</v>
      </c>
      <c r="I24" s="41">
        <f>Current_Tenants[[#This Row],[Move-out Date]]+1</f>
        <v>45142</v>
      </c>
    </row>
    <row r="25" spans="1:9" x14ac:dyDescent="0.25">
      <c r="A25" s="8">
        <v>502</v>
      </c>
      <c r="B25" s="8" t="str">
        <f>VLOOKUP(Current_Tenants[[#This Row],[Apartment Number]],Table10[[Flat No]:[House ID]],3,FALSE)</f>
        <v>N35411</v>
      </c>
      <c r="C25" s="39" t="s">
        <v>105</v>
      </c>
      <c r="D25">
        <v>4841849635.6448784</v>
      </c>
      <c r="E25" s="1" t="s">
        <v>138</v>
      </c>
      <c r="F25" s="41">
        <v>45105</v>
      </c>
      <c r="G25" s="41">
        <f>Current_Tenants[[#This Row],[Move-in Date]]-2</f>
        <v>45103</v>
      </c>
      <c r="H25" s="41">
        <v>45147</v>
      </c>
      <c r="I25" s="41">
        <f>Current_Tenants[[#This Row],[Move-out Date]]+1</f>
        <v>45148</v>
      </c>
    </row>
    <row r="26" spans="1:9" x14ac:dyDescent="0.25">
      <c r="A26" s="8">
        <v>401</v>
      </c>
      <c r="B26" s="8" t="str">
        <f>VLOOKUP(Current_Tenants[[#This Row],[Apartment Number]],Table10[[Flat No]:[House ID]],3,FALSE)</f>
        <v>N35262</v>
      </c>
      <c r="C26" s="39" t="s">
        <v>105</v>
      </c>
      <c r="D26">
        <v>7967822870.6186399</v>
      </c>
      <c r="E26" s="1" t="s">
        <v>138</v>
      </c>
      <c r="F26" s="41">
        <v>45145</v>
      </c>
      <c r="G26" s="41">
        <f>Current_Tenants[[#This Row],[Move-in Date]]-2</f>
        <v>45143</v>
      </c>
      <c r="I26" s="41">
        <f>Current_Tenants[[#This Row],[Move-out Date]]+1</f>
        <v>1</v>
      </c>
    </row>
    <row r="27" spans="1:9" x14ac:dyDescent="0.25">
      <c r="A27" s="8">
        <v>502</v>
      </c>
      <c r="B27" s="8" t="str">
        <f>VLOOKUP(Current_Tenants[[#This Row],[Apartment Number]],Table10[[Flat No]:[House ID]],3,FALSE)</f>
        <v>N35411</v>
      </c>
      <c r="C27" s="39" t="s">
        <v>120</v>
      </c>
      <c r="D27">
        <v>9313697461.6137218</v>
      </c>
      <c r="E27" s="1" t="s">
        <v>138</v>
      </c>
      <c r="F27" s="41">
        <v>45170</v>
      </c>
      <c r="G27" s="41">
        <f>Current_Tenants[[#This Row],[Move-in Date]]-2</f>
        <v>45168</v>
      </c>
      <c r="H27" s="41">
        <v>45229</v>
      </c>
      <c r="I27" s="41">
        <f>Current_Tenants[[#This Row],[Move-out Date]]+1</f>
        <v>45230</v>
      </c>
    </row>
    <row r="28" spans="1:9" x14ac:dyDescent="0.25">
      <c r="A28" s="8">
        <v>502</v>
      </c>
      <c r="B28" s="8" t="str">
        <f>VLOOKUP(Current_Tenants[[#This Row],[Apartment Number]],Table10[[Flat No]:[House ID]],3,FALSE)</f>
        <v>N35411</v>
      </c>
      <c r="C28" s="39" t="s">
        <v>119</v>
      </c>
      <c r="D28">
        <v>3292360027.0449057</v>
      </c>
      <c r="E28" s="1" t="s">
        <v>138</v>
      </c>
      <c r="F28" s="41">
        <v>45234</v>
      </c>
      <c r="G28" s="41">
        <f>Current_Tenants[[#This Row],[Move-in Date]]-2</f>
        <v>45232</v>
      </c>
      <c r="I28" s="41">
        <f>Current_Tenants[[#This Row],[Move-out Date]]+1</f>
        <v>1</v>
      </c>
    </row>
    <row r="29" spans="1:9" x14ac:dyDescent="0.25">
      <c r="A29" s="8">
        <v>402</v>
      </c>
      <c r="B29" s="8" t="str">
        <f>VLOOKUP(Current_Tenants[[#This Row],[Apartment Number]],Table10[[Flat No]:[House ID]],3,FALSE)</f>
        <v>N35407</v>
      </c>
      <c r="C29" s="39" t="s">
        <v>108</v>
      </c>
      <c r="D29">
        <v>1047344767.0674403</v>
      </c>
      <c r="E29" t="s">
        <v>139</v>
      </c>
      <c r="F29" s="41">
        <v>45329</v>
      </c>
      <c r="G29" s="41">
        <f>Current_Tenants[[#This Row],[Move-in Date]]-2</f>
        <v>45327</v>
      </c>
      <c r="H29" s="41">
        <v>45328</v>
      </c>
      <c r="I29" s="41">
        <f>Current_Tenants[[#This Row],[Move-out Date]]+1</f>
        <v>45329</v>
      </c>
    </row>
    <row r="30" spans="1:9" x14ac:dyDescent="0.25">
      <c r="A30" s="8">
        <v>402</v>
      </c>
      <c r="B30" s="8" t="str">
        <f>VLOOKUP(Current_Tenants[[#This Row],[Apartment Number]],Table10[[Flat No]:[House ID]],3,FALSE)</f>
        <v>N35407</v>
      </c>
      <c r="C30" s="39" t="s">
        <v>107</v>
      </c>
      <c r="D30">
        <v>2342767957.9739184</v>
      </c>
      <c r="E30" t="s">
        <v>139</v>
      </c>
      <c r="F30" s="41">
        <v>45337</v>
      </c>
      <c r="G30" s="41">
        <f>Current_Tenants[[#This Row],[Move-in Date]]-2</f>
        <v>45335</v>
      </c>
      <c r="H30" s="41">
        <v>45338</v>
      </c>
      <c r="I30" s="41">
        <f>Current_Tenants[[#This Row],[Move-out Date]]+1</f>
        <v>45339</v>
      </c>
    </row>
    <row r="31" spans="1:9" x14ac:dyDescent="0.25">
      <c r="A31" s="8">
        <v>402</v>
      </c>
      <c r="B31" s="8" t="str">
        <f>VLOOKUP(Current_Tenants[[#This Row],[Apartment Number]],Table10[[Flat No]:[House ID]],3,FALSE)</f>
        <v>N35407</v>
      </c>
      <c r="C31" s="39" t="s">
        <v>106</v>
      </c>
      <c r="D31">
        <v>5066277185.5002022</v>
      </c>
      <c r="E31" t="s">
        <v>139</v>
      </c>
      <c r="F31" s="41">
        <v>45353</v>
      </c>
      <c r="G31" s="41">
        <f>Current_Tenants[[#This Row],[Move-in Date]]-2</f>
        <v>45351</v>
      </c>
      <c r="I31" s="41">
        <f>Current_Tenants[[#This Row],[Move-out Date]]+1</f>
        <v>1</v>
      </c>
    </row>
    <row r="32" spans="1:9" x14ac:dyDescent="0.25">
      <c r="G32" s="40"/>
      <c r="I32" s="40">
        <f>Current_Tenants[[#This Row],[Move-out Date]]+1</f>
        <v>1</v>
      </c>
    </row>
    <row r="33" spans="7:9" x14ac:dyDescent="0.25">
      <c r="G33" s="40"/>
      <c r="I33" s="40">
        <f>Current_Tenants[[#This Row],[Move-out Date]]+1</f>
        <v>1</v>
      </c>
    </row>
    <row r="34" spans="7:9" x14ac:dyDescent="0.25">
      <c r="G34" s="40"/>
      <c r="I34" s="40">
        <f>Current_Tenants[[#This Row],[Move-out Date]]+1</f>
        <v>1</v>
      </c>
    </row>
    <row r="35" spans="7:9" x14ac:dyDescent="0.25">
      <c r="G35" s="40"/>
      <c r="I35" s="40">
        <f>Current_Tenants[[#This Row],[Move-out Date]]+1</f>
        <v>1</v>
      </c>
    </row>
    <row r="36" spans="7:9" x14ac:dyDescent="0.25">
      <c r="G36" s="40"/>
      <c r="I36" s="40">
        <f>Current_Tenants[[#This Row],[Move-out Date]]+1</f>
        <v>1</v>
      </c>
    </row>
    <row r="37" spans="7:9" x14ac:dyDescent="0.25">
      <c r="G37" s="40"/>
      <c r="I37" s="40">
        <f>Current_Tenants[[#This Row],[Move-out Date]]+1</f>
        <v>1</v>
      </c>
    </row>
    <row r="38" spans="7:9" x14ac:dyDescent="0.25">
      <c r="G38" s="40"/>
      <c r="I38" s="40">
        <f>Current_Tenants[[#This Row],[Move-out Date]]+1</f>
        <v>1</v>
      </c>
    </row>
    <row r="39" spans="7:9" x14ac:dyDescent="0.25">
      <c r="G39" s="40"/>
      <c r="I39" s="40">
        <f>Current_Tenants[[#This Row],[Move-out Date]]+1</f>
        <v>1</v>
      </c>
    </row>
    <row r="40" spans="7:9" x14ac:dyDescent="0.25">
      <c r="G40" s="40"/>
      <c r="I40" s="40">
        <f>Current_Tenants[[#This Row],[Move-out Date]]+1</f>
        <v>1</v>
      </c>
    </row>
    <row r="41" spans="7:9" x14ac:dyDescent="0.25">
      <c r="G41" s="40"/>
      <c r="I41" s="40">
        <f>Current_Tenants[[#This Row],[Move-out Date]]+1</f>
        <v>1</v>
      </c>
    </row>
    <row r="42" spans="7:9" x14ac:dyDescent="0.25">
      <c r="G42" s="40"/>
      <c r="I42" s="40">
        <f>Current_Tenants[[#This Row],[Move-out Date]]+1</f>
        <v>1</v>
      </c>
    </row>
    <row r="43" spans="7:9" x14ac:dyDescent="0.25">
      <c r="G43" s="40"/>
      <c r="I43" s="40">
        <f>Current_Tenants[[#This Row],[Move-out Date]]+1</f>
        <v>1</v>
      </c>
    </row>
    <row r="44" spans="7:9" x14ac:dyDescent="0.25">
      <c r="G44" s="40"/>
      <c r="I44" s="40">
        <f>Current_Tenants[[#This Row],[Move-out Date]]+1</f>
        <v>1</v>
      </c>
    </row>
    <row r="45" spans="7:9" x14ac:dyDescent="0.25">
      <c r="G45" s="40"/>
      <c r="I45" s="40">
        <f>Current_Tenants[[#This Row],[Move-out Date]]+1</f>
        <v>1</v>
      </c>
    </row>
    <row r="46" spans="7:9" x14ac:dyDescent="0.25">
      <c r="G46" s="40"/>
      <c r="I46" s="40">
        <f>Current_Tenants[[#This Row],[Move-out Date]]+1</f>
        <v>1</v>
      </c>
    </row>
    <row r="47" spans="7:9" x14ac:dyDescent="0.25">
      <c r="G47" s="40"/>
      <c r="I47" s="40">
        <f>Current_Tenants[[#This Row],[Move-out Date]]+1</f>
        <v>1</v>
      </c>
    </row>
    <row r="48" spans="7:9" x14ac:dyDescent="0.25">
      <c r="G48" s="40"/>
      <c r="I48" s="40">
        <f>Current_Tenants[[#This Row],[Move-out Date]]+1</f>
        <v>1</v>
      </c>
    </row>
    <row r="49" spans="7:9" x14ac:dyDescent="0.25">
      <c r="G49" s="40"/>
      <c r="I49" s="40">
        <f>Current_Tenants[[#This Row],[Move-out Date]]+1</f>
        <v>1</v>
      </c>
    </row>
    <row r="50" spans="7:9" x14ac:dyDescent="0.25">
      <c r="G50" s="40"/>
      <c r="I50" s="40">
        <f>Current_Tenants[[#This Row],[Move-out Date]]+1</f>
        <v>1</v>
      </c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0000000}">
          <x14:formula1>
            <xm:f>InputVals!$C$2:$C$20</xm:f>
          </x14:formula1>
          <xm:sqref>A2:A50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6"/>
  <sheetViews>
    <sheetView workbookViewId="0">
      <selection activeCell="C16" sqref="C16"/>
    </sheetView>
  </sheetViews>
  <sheetFormatPr defaultRowHeight="15" x14ac:dyDescent="0.25"/>
  <cols>
    <col min="1" max="1" width="24.7109375" bestFit="1" customWidth="1"/>
    <col min="2" max="2" width="21.42578125" customWidth="1"/>
    <col min="3" max="4" width="21.28515625" customWidth="1"/>
    <col min="5" max="5" width="22" bestFit="1" customWidth="1"/>
    <col min="6" max="6" width="41.5703125" bestFit="1" customWidth="1"/>
    <col min="7" max="7" width="14.85546875" customWidth="1"/>
    <col min="8" max="8" width="18.5703125" bestFit="1" customWidth="1"/>
  </cols>
  <sheetData>
    <row r="1" spans="1:8" x14ac:dyDescent="0.25">
      <c r="A1" s="7" t="s">
        <v>46</v>
      </c>
      <c r="B1" s="7" t="s">
        <v>49</v>
      </c>
      <c r="C1" s="7" t="s">
        <v>52</v>
      </c>
      <c r="D1" s="7" t="s">
        <v>53</v>
      </c>
      <c r="E1" s="7" t="s">
        <v>47</v>
      </c>
      <c r="F1" s="7" t="s">
        <v>57</v>
      </c>
      <c r="G1" s="1" t="s">
        <v>48</v>
      </c>
      <c r="H1" s="7" t="s">
        <v>58</v>
      </c>
    </row>
    <row r="2" spans="1:8" x14ac:dyDescent="0.25">
      <c r="A2" s="8" t="s">
        <v>12</v>
      </c>
      <c r="B2" s="9">
        <v>9573019230</v>
      </c>
      <c r="C2" s="9">
        <v>966506820786</v>
      </c>
      <c r="D2" s="9" t="s">
        <v>54</v>
      </c>
      <c r="E2" s="9">
        <v>283765104073</v>
      </c>
      <c r="F2" s="8"/>
      <c r="G2" s="8" t="s">
        <v>4</v>
      </c>
      <c r="H2" s="20">
        <v>203204301403304</v>
      </c>
    </row>
    <row r="3" spans="1:8" x14ac:dyDescent="0.25">
      <c r="A3" s="8" t="s">
        <v>13</v>
      </c>
      <c r="B3" s="9">
        <v>9573284263</v>
      </c>
      <c r="C3" s="9">
        <v>966563091602</v>
      </c>
      <c r="D3" s="9" t="s">
        <v>54</v>
      </c>
      <c r="E3" s="9">
        <v>276980043672</v>
      </c>
      <c r="F3" s="8"/>
      <c r="G3" s="8" t="s">
        <v>4</v>
      </c>
      <c r="H3" s="20">
        <v>102303404503504</v>
      </c>
    </row>
    <row r="4" spans="1:8" x14ac:dyDescent="0.25">
      <c r="A4" s="8" t="s">
        <v>14</v>
      </c>
      <c r="B4" s="9">
        <v>9177738302</v>
      </c>
      <c r="C4" s="9">
        <v>17782513973</v>
      </c>
      <c r="D4" s="9" t="s">
        <v>55</v>
      </c>
      <c r="E4" s="9">
        <v>483902223635</v>
      </c>
      <c r="F4" s="8"/>
      <c r="G4" s="8" t="s">
        <v>51</v>
      </c>
      <c r="H4" s="20">
        <v>101302202</v>
      </c>
    </row>
    <row r="5" spans="1:8" x14ac:dyDescent="0.25">
      <c r="A5" s="8" t="s">
        <v>15</v>
      </c>
      <c r="B5" s="9">
        <v>7680926817</v>
      </c>
      <c r="C5" s="9">
        <v>582134993</v>
      </c>
      <c r="D5" s="9" t="s">
        <v>54</v>
      </c>
      <c r="E5" s="9">
        <v>589400759536</v>
      </c>
      <c r="F5" s="8"/>
      <c r="G5" s="8" t="s">
        <v>51</v>
      </c>
      <c r="H5" s="20">
        <v>401402</v>
      </c>
    </row>
    <row r="6" spans="1:8" x14ac:dyDescent="0.25">
      <c r="A6" s="8" t="s">
        <v>50</v>
      </c>
      <c r="B6" s="9">
        <v>8978496691</v>
      </c>
      <c r="C6" s="9">
        <v>539196691</v>
      </c>
      <c r="D6" s="8" t="s">
        <v>56</v>
      </c>
      <c r="E6" s="9">
        <v>488339420699</v>
      </c>
      <c r="F6" s="8"/>
      <c r="G6" s="8" t="s">
        <v>51</v>
      </c>
      <c r="H6" s="20">
        <v>201401502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G2"/>
  <sheetViews>
    <sheetView workbookViewId="0">
      <selection activeCell="G7" sqref="G7"/>
    </sheetView>
  </sheetViews>
  <sheetFormatPr defaultRowHeight="15" x14ac:dyDescent="0.25"/>
  <cols>
    <col min="1" max="1" width="18.5703125" bestFit="1" customWidth="1"/>
    <col min="2" max="2" width="18.5703125" customWidth="1"/>
    <col min="3" max="3" width="10.28515625" bestFit="1" customWidth="1"/>
    <col min="5" max="5" width="11.7109375" bestFit="1" customWidth="1"/>
    <col min="6" max="6" width="18.5703125" bestFit="1" customWidth="1"/>
    <col min="7" max="7" width="10.42578125" bestFit="1" customWidth="1"/>
  </cols>
  <sheetData>
    <row r="1" spans="1:7" x14ac:dyDescent="0.25">
      <c r="A1" s="1" t="s">
        <v>1</v>
      </c>
      <c r="B1" s="1" t="s">
        <v>127</v>
      </c>
      <c r="C1" s="1" t="s">
        <v>100</v>
      </c>
      <c r="D1" s="1" t="s">
        <v>22</v>
      </c>
      <c r="E1" s="1" t="s">
        <v>128</v>
      </c>
      <c r="F1" s="37" t="s">
        <v>129</v>
      </c>
      <c r="G1" s="37" t="s">
        <v>97</v>
      </c>
    </row>
    <row r="2" spans="1:7" x14ac:dyDescent="0.25">
      <c r="F2" s="38" t="s">
        <v>98</v>
      </c>
      <c r="G2" s="38" t="s">
        <v>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G2"/>
  <sheetViews>
    <sheetView workbookViewId="0">
      <selection activeCell="G5" sqref="G5"/>
    </sheetView>
  </sheetViews>
  <sheetFormatPr defaultRowHeight="15" x14ac:dyDescent="0.25"/>
  <cols>
    <col min="1" max="1" width="18.5703125" bestFit="1" customWidth="1"/>
    <col min="2" max="2" width="10.28515625" bestFit="1" customWidth="1"/>
    <col min="3" max="3" width="8.140625" bestFit="1" customWidth="1"/>
    <col min="4" max="4" width="11.7109375" bestFit="1" customWidth="1"/>
    <col min="5" max="5" width="18.42578125" bestFit="1" customWidth="1"/>
    <col min="6" max="6" width="39" bestFit="1" customWidth="1"/>
    <col min="7" max="7" width="10.42578125" bestFit="1" customWidth="1"/>
  </cols>
  <sheetData>
    <row r="1" spans="1:7" x14ac:dyDescent="0.25">
      <c r="A1" s="1" t="s">
        <v>1</v>
      </c>
      <c r="B1" s="1" t="s">
        <v>94</v>
      </c>
      <c r="C1" s="1" t="s">
        <v>22</v>
      </c>
      <c r="D1" s="1" t="s">
        <v>95</v>
      </c>
      <c r="E1" s="1" t="s">
        <v>99</v>
      </c>
      <c r="F1" s="37" t="s">
        <v>96</v>
      </c>
      <c r="G1" s="37" t="s">
        <v>97</v>
      </c>
    </row>
    <row r="2" spans="1:7" x14ac:dyDescent="0.25">
      <c r="F2" s="38" t="s">
        <v>144</v>
      </c>
      <c r="G2" s="38" t="s">
        <v>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L5"/>
  <sheetViews>
    <sheetView workbookViewId="0">
      <selection activeCell="G18" sqref="G18"/>
    </sheetView>
  </sheetViews>
  <sheetFormatPr defaultRowHeight="15" x14ac:dyDescent="0.25"/>
  <cols>
    <col min="1" max="1" width="13.28515625" bestFit="1" customWidth="1"/>
    <col min="2" max="2" width="18.5703125" bestFit="1" customWidth="1"/>
    <col min="3" max="3" width="10.28515625" bestFit="1" customWidth="1"/>
    <col min="4" max="4" width="8.140625" bestFit="1" customWidth="1"/>
    <col min="5" max="5" width="11.7109375" bestFit="1" customWidth="1"/>
    <col min="6" max="6" width="18.42578125" bestFit="1" customWidth="1"/>
    <col min="7" max="7" width="18.5703125" bestFit="1" customWidth="1"/>
    <col min="8" max="8" width="10.42578125" bestFit="1" customWidth="1"/>
    <col min="12" max="12" width="12.5703125" bestFit="1" customWidth="1"/>
  </cols>
  <sheetData>
    <row r="1" spans="1:12" x14ac:dyDescent="0.25">
      <c r="A1" s="1" t="s">
        <v>143</v>
      </c>
      <c r="B1" s="1" t="s">
        <v>1</v>
      </c>
      <c r="C1" s="1" t="s">
        <v>94</v>
      </c>
      <c r="D1" s="1" t="s">
        <v>22</v>
      </c>
      <c r="E1" s="1" t="s">
        <v>148</v>
      </c>
      <c r="F1" s="1" t="s">
        <v>149</v>
      </c>
      <c r="G1" s="37" t="s">
        <v>96</v>
      </c>
      <c r="H1" s="37" t="s">
        <v>97</v>
      </c>
    </row>
    <row r="2" spans="1:12" x14ac:dyDescent="0.25">
      <c r="G2" s="38" t="s">
        <v>98</v>
      </c>
      <c r="H2" s="38" t="s">
        <v>98</v>
      </c>
      <c r="L2" t="s">
        <v>145</v>
      </c>
    </row>
    <row r="3" spans="1:12" x14ac:dyDescent="0.25">
      <c r="L3" t="s">
        <v>146</v>
      </c>
    </row>
    <row r="4" spans="1:12" x14ac:dyDescent="0.25">
      <c r="L4" t="s">
        <v>147</v>
      </c>
    </row>
    <row r="5" spans="1:12" x14ac:dyDescent="0.25">
      <c r="L5" t="s">
        <v>154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D20"/>
  <sheetViews>
    <sheetView workbookViewId="0">
      <selection activeCell="A15" sqref="A15"/>
    </sheetView>
  </sheetViews>
  <sheetFormatPr defaultRowHeight="15" x14ac:dyDescent="0.25"/>
  <cols>
    <col min="1" max="2" width="24.7109375" bestFit="1" customWidth="1"/>
    <col min="3" max="3" width="13.42578125" bestFit="1" customWidth="1"/>
    <col min="4" max="4" width="9.85546875" bestFit="1" customWidth="1"/>
  </cols>
  <sheetData>
    <row r="1" spans="1:4" x14ac:dyDescent="0.25">
      <c r="A1" s="34" t="s">
        <v>61</v>
      </c>
      <c r="B1" s="33" t="s">
        <v>59</v>
      </c>
      <c r="C1" s="34" t="s">
        <v>60</v>
      </c>
      <c r="D1" s="35" t="s">
        <v>62</v>
      </c>
    </row>
    <row r="2" spans="1:4" x14ac:dyDescent="0.25">
      <c r="A2" s="15">
        <v>203</v>
      </c>
      <c r="B2" s="21" t="s">
        <v>12</v>
      </c>
      <c r="C2" s="14" t="s">
        <v>73</v>
      </c>
      <c r="D2" s="26" t="s">
        <v>70</v>
      </c>
    </row>
    <row r="3" spans="1:4" x14ac:dyDescent="0.25">
      <c r="A3" s="15">
        <v>204</v>
      </c>
      <c r="B3" s="21" t="s">
        <v>12</v>
      </c>
      <c r="C3" s="14" t="s">
        <v>74</v>
      </c>
      <c r="D3" s="26" t="s">
        <v>70</v>
      </c>
    </row>
    <row r="4" spans="1:4" x14ac:dyDescent="0.25">
      <c r="A4" s="15">
        <v>301</v>
      </c>
      <c r="B4" s="21" t="s">
        <v>12</v>
      </c>
      <c r="C4" s="14" t="s">
        <v>75</v>
      </c>
      <c r="D4" s="26" t="s">
        <v>64</v>
      </c>
    </row>
    <row r="5" spans="1:4" x14ac:dyDescent="0.25">
      <c r="A5" s="15">
        <v>403</v>
      </c>
      <c r="B5" s="21" t="s">
        <v>12</v>
      </c>
      <c r="C5" s="14" t="s">
        <v>76</v>
      </c>
      <c r="D5" s="26" t="s">
        <v>70</v>
      </c>
    </row>
    <row r="6" spans="1:4" x14ac:dyDescent="0.25">
      <c r="A6" s="15">
        <v>304</v>
      </c>
      <c r="B6" s="21" t="s">
        <v>12</v>
      </c>
      <c r="C6" s="14" t="s">
        <v>77</v>
      </c>
      <c r="D6" s="26" t="s">
        <v>70</v>
      </c>
    </row>
    <row r="7" spans="1:4" x14ac:dyDescent="0.25">
      <c r="A7" s="17">
        <v>102</v>
      </c>
      <c r="B7" s="22" t="s">
        <v>13</v>
      </c>
      <c r="C7" s="16" t="s">
        <v>78</v>
      </c>
      <c r="D7" s="27" t="s">
        <v>64</v>
      </c>
    </row>
    <row r="8" spans="1:4" x14ac:dyDescent="0.25">
      <c r="A8" s="17">
        <v>303</v>
      </c>
      <c r="B8" s="22" t="s">
        <v>13</v>
      </c>
      <c r="C8" s="16" t="s">
        <v>79</v>
      </c>
      <c r="D8" s="27" t="s">
        <v>70</v>
      </c>
    </row>
    <row r="9" spans="1:4" x14ac:dyDescent="0.25">
      <c r="A9" s="17">
        <v>404</v>
      </c>
      <c r="B9" s="22" t="s">
        <v>13</v>
      </c>
      <c r="C9" s="16" t="s">
        <v>80</v>
      </c>
      <c r="D9" s="27" t="s">
        <v>70</v>
      </c>
    </row>
    <row r="10" spans="1:4" x14ac:dyDescent="0.25">
      <c r="A10" s="17">
        <v>503</v>
      </c>
      <c r="B10" s="22" t="s">
        <v>13</v>
      </c>
      <c r="C10" s="16" t="s">
        <v>81</v>
      </c>
      <c r="D10" s="27" t="s">
        <v>70</v>
      </c>
    </row>
    <row r="11" spans="1:4" x14ac:dyDescent="0.25">
      <c r="A11" s="17">
        <v>504</v>
      </c>
      <c r="B11" s="22" t="s">
        <v>13</v>
      </c>
      <c r="C11" s="16" t="s">
        <v>82</v>
      </c>
      <c r="D11" s="27" t="s">
        <v>70</v>
      </c>
    </row>
    <row r="12" spans="1:4" x14ac:dyDescent="0.25">
      <c r="A12" s="11">
        <v>101</v>
      </c>
      <c r="B12" s="23" t="s">
        <v>14</v>
      </c>
      <c r="C12" s="10" t="s">
        <v>63</v>
      </c>
      <c r="D12" s="28" t="s">
        <v>64</v>
      </c>
    </row>
    <row r="13" spans="1:4" x14ac:dyDescent="0.25">
      <c r="A13" s="11">
        <v>302</v>
      </c>
      <c r="B13" s="23" t="s">
        <v>14</v>
      </c>
      <c r="C13" s="10" t="s">
        <v>65</v>
      </c>
      <c r="D13" s="28" t="s">
        <v>64</v>
      </c>
    </row>
    <row r="14" spans="1:4" x14ac:dyDescent="0.25">
      <c r="A14" s="11">
        <v>202</v>
      </c>
      <c r="B14" s="23" t="s">
        <v>14</v>
      </c>
      <c r="C14" s="10" t="s">
        <v>67</v>
      </c>
      <c r="D14" s="28" t="s">
        <v>64</v>
      </c>
    </row>
    <row r="15" spans="1:4" x14ac:dyDescent="0.25">
      <c r="A15" s="13">
        <v>402</v>
      </c>
      <c r="B15" s="24" t="s">
        <v>15</v>
      </c>
      <c r="C15" s="12" t="s">
        <v>69</v>
      </c>
      <c r="D15" s="29" t="s">
        <v>70</v>
      </c>
    </row>
    <row r="16" spans="1:4" x14ac:dyDescent="0.25">
      <c r="A16" s="13">
        <v>501</v>
      </c>
      <c r="B16" s="24" t="s">
        <v>15</v>
      </c>
      <c r="C16" s="12" t="s">
        <v>71</v>
      </c>
      <c r="D16" s="29" t="s">
        <v>64</v>
      </c>
    </row>
    <row r="17" spans="1:4" x14ac:dyDescent="0.25">
      <c r="A17" s="13">
        <v>502</v>
      </c>
      <c r="B17" s="29" t="s">
        <v>15</v>
      </c>
      <c r="C17" s="29" t="s">
        <v>72</v>
      </c>
      <c r="D17" s="29" t="s">
        <v>64</v>
      </c>
    </row>
    <row r="18" spans="1:4" x14ac:dyDescent="0.25">
      <c r="A18" s="19">
        <v>201</v>
      </c>
      <c r="B18" s="25" t="s">
        <v>50</v>
      </c>
      <c r="C18" s="18" t="s">
        <v>66</v>
      </c>
      <c r="D18" s="30" t="s">
        <v>64</v>
      </c>
    </row>
    <row r="19" spans="1:4" x14ac:dyDescent="0.25">
      <c r="A19" s="19">
        <v>401</v>
      </c>
      <c r="B19" s="25" t="s">
        <v>50</v>
      </c>
      <c r="C19" s="18" t="s">
        <v>68</v>
      </c>
      <c r="D19" s="30" t="s">
        <v>64</v>
      </c>
    </row>
    <row r="20" spans="1:4" x14ac:dyDescent="0.25">
      <c r="A20" s="31">
        <v>102</v>
      </c>
      <c r="B20" s="25" t="s">
        <v>50</v>
      </c>
      <c r="C20" s="30" t="s">
        <v>78</v>
      </c>
      <c r="D20" s="32" t="s">
        <v>64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I20"/>
  <sheetViews>
    <sheetView workbookViewId="0">
      <selection activeCell="K10" sqref="K10"/>
    </sheetView>
  </sheetViews>
  <sheetFormatPr defaultRowHeight="15" x14ac:dyDescent="0.25"/>
  <cols>
    <col min="1" max="1" width="17.7109375" customWidth="1"/>
    <col min="3" max="3" width="20.7109375" customWidth="1"/>
    <col min="5" max="5" width="18.85546875" customWidth="1"/>
    <col min="7" max="7" width="20.85546875" bestFit="1" customWidth="1"/>
    <col min="9" max="9" width="18.42578125" customWidth="1"/>
  </cols>
  <sheetData>
    <row r="1" spans="1:9" x14ac:dyDescent="0.25">
      <c r="A1" s="1" t="s">
        <v>6</v>
      </c>
      <c r="C1" s="2" t="s">
        <v>0</v>
      </c>
      <c r="E1" s="2" t="s">
        <v>10</v>
      </c>
      <c r="G1" s="1" t="s">
        <v>11</v>
      </c>
      <c r="I1" s="1" t="s">
        <v>36</v>
      </c>
    </row>
    <row r="2" spans="1:9" x14ac:dyDescent="0.25">
      <c r="A2" t="s">
        <v>7</v>
      </c>
      <c r="C2" s="3">
        <v>101</v>
      </c>
      <c r="E2" s="3">
        <v>1</v>
      </c>
      <c r="G2" t="s">
        <v>12</v>
      </c>
      <c r="I2" s="1" t="s">
        <v>37</v>
      </c>
    </row>
    <row r="3" spans="1:9" x14ac:dyDescent="0.25">
      <c r="A3" t="s">
        <v>8</v>
      </c>
      <c r="C3" s="3">
        <v>102</v>
      </c>
      <c r="E3" s="3">
        <v>2</v>
      </c>
      <c r="G3" t="s">
        <v>13</v>
      </c>
      <c r="I3" s="1" t="s">
        <v>38</v>
      </c>
    </row>
    <row r="4" spans="1:9" x14ac:dyDescent="0.25">
      <c r="A4" t="s">
        <v>9</v>
      </c>
      <c r="C4" s="3">
        <v>103</v>
      </c>
      <c r="E4" s="3">
        <v>3</v>
      </c>
      <c r="G4" t="s">
        <v>14</v>
      </c>
    </row>
    <row r="5" spans="1:9" x14ac:dyDescent="0.25">
      <c r="C5" s="3">
        <v>201</v>
      </c>
      <c r="E5" s="3">
        <v>4</v>
      </c>
      <c r="G5" t="s">
        <v>15</v>
      </c>
    </row>
    <row r="6" spans="1:9" x14ac:dyDescent="0.25">
      <c r="C6" s="3">
        <v>202</v>
      </c>
      <c r="E6" s="3">
        <v>5</v>
      </c>
    </row>
    <row r="7" spans="1:9" x14ac:dyDescent="0.25">
      <c r="C7" s="3">
        <v>203</v>
      </c>
    </row>
    <row r="8" spans="1:9" x14ac:dyDescent="0.25">
      <c r="C8" s="3">
        <v>204</v>
      </c>
    </row>
    <row r="9" spans="1:9" x14ac:dyDescent="0.25">
      <c r="C9" s="3">
        <v>301</v>
      </c>
    </row>
    <row r="10" spans="1:9" x14ac:dyDescent="0.25">
      <c r="C10" s="3">
        <v>302</v>
      </c>
      <c r="G10" s="5" t="s">
        <v>43</v>
      </c>
      <c r="I10" t="s">
        <v>158</v>
      </c>
    </row>
    <row r="11" spans="1:9" x14ac:dyDescent="0.25">
      <c r="C11" s="3">
        <v>303</v>
      </c>
      <c r="G11" s="6" t="s">
        <v>44</v>
      </c>
      <c r="I11" t="s">
        <v>159</v>
      </c>
    </row>
    <row r="12" spans="1:9" x14ac:dyDescent="0.25">
      <c r="C12" s="3">
        <v>304</v>
      </c>
      <c r="G12" s="5" t="s">
        <v>88</v>
      </c>
      <c r="I12" t="s">
        <v>160</v>
      </c>
    </row>
    <row r="13" spans="1:9" x14ac:dyDescent="0.25">
      <c r="C13" s="3">
        <v>401</v>
      </c>
      <c r="G13" s="6" t="s">
        <v>90</v>
      </c>
    </row>
    <row r="14" spans="1:9" x14ac:dyDescent="0.25">
      <c r="C14" s="3">
        <v>402</v>
      </c>
      <c r="G14" s="6" t="s">
        <v>155</v>
      </c>
    </row>
    <row r="15" spans="1:9" x14ac:dyDescent="0.25">
      <c r="C15" s="3">
        <v>403</v>
      </c>
      <c r="G15" s="5" t="s">
        <v>154</v>
      </c>
    </row>
    <row r="16" spans="1:9" x14ac:dyDescent="0.25">
      <c r="C16" s="3">
        <v>404</v>
      </c>
    </row>
    <row r="17" spans="3:3" x14ac:dyDescent="0.25">
      <c r="C17" s="3">
        <v>501</v>
      </c>
    </row>
    <row r="18" spans="3:3" x14ac:dyDescent="0.25">
      <c r="C18" s="3">
        <v>502</v>
      </c>
    </row>
    <row r="19" spans="3:3" x14ac:dyDescent="0.25">
      <c r="C19" s="3">
        <v>503</v>
      </c>
    </row>
    <row r="20" spans="3:3" x14ac:dyDescent="0.25">
      <c r="C20" s="3">
        <v>504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Other-General-Expenses</vt:lpstr>
      <vt:lpstr>Guests-Entry</vt:lpstr>
      <vt:lpstr>Expenses-Entry</vt:lpstr>
      <vt:lpstr>Sheet1</vt:lpstr>
      <vt:lpstr>Tenant_Rentals_Tracker</vt:lpstr>
      <vt:lpstr>Vendors</vt:lpstr>
      <vt:lpstr>Apartments-Data</vt:lpstr>
      <vt:lpstr>VacancyTracker</vt:lpstr>
      <vt:lpstr>OccupancyTracker</vt:lpstr>
      <vt:lpstr>Occupancy_Status</vt:lpstr>
      <vt:lpstr>Tenants</vt:lpstr>
      <vt:lpstr>Beneficiaries</vt:lpstr>
      <vt:lpstr>RentalIncomes</vt:lpstr>
      <vt:lpstr>RentalAdvance</vt:lpstr>
      <vt:lpstr>Other_Incomes</vt:lpstr>
      <vt:lpstr>Flats</vt:lpstr>
      <vt:lpstr>InputVals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2026-08-24T14:28:14Z</dcterms:modified>
</cp:coreProperties>
</file>